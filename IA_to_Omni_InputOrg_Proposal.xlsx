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c5eaad8afa7581/Documents/Onboarding CB/Factor Out/"/>
    </mc:Choice>
  </mc:AlternateContent>
  <xr:revisionPtr revIDLastSave="0" documentId="8_{F3820C3B-CDF6-4CC0-9672-621866B85C3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roposal" sheetId="1" r:id="rId1"/>
    <sheet name="Domain Design" sheetId="2" r:id="rId2"/>
    <sheet name="Dataset Map" sheetId="3" r:id="rId3"/>
    <sheet name="Field Contracts" sheetId="4" r:id="rId4"/>
    <sheet name="Time Mapping" sheetId="5" r:id="rId5"/>
    <sheet name="Delivery Plan" sheetId="6" r:id="rId6"/>
    <sheet name="Acceptance" sheetId="7" r:id="rId7"/>
    <sheet name="Decisions" sheetId="8" r:id="rId8"/>
    <sheet name="Evidence" sheetId="9" r:id="rId9"/>
    <sheet name="TableIndex" sheetId="10" r:id="rId10"/>
    <sheet name="Selector Map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7" l="1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I40" i="1"/>
  <c r="E40" i="1"/>
  <c r="A40" i="1"/>
</calcChain>
</file>

<file path=xl/sharedStrings.xml><?xml version="1.0" encoding="utf-8"?>
<sst xmlns="http://schemas.openxmlformats.org/spreadsheetml/2006/main" count="4392" uniqueCount="2109">
  <si>
    <t>IA dataset-name items</t>
  </si>
  <si>
    <t>ESG dataset-name items</t>
  </si>
  <si>
    <t>Work packages</t>
  </si>
  <si>
    <t>ID</t>
  </si>
  <si>
    <t>Target domain</t>
  </si>
  <si>
    <t>Responsibility</t>
  </si>
  <si>
    <t>Omni reference pattern</t>
  </si>
  <si>
    <t>Record / key boundary</t>
  </si>
  <si>
    <t>Proposed change</t>
  </si>
  <si>
    <t>Boundary to preserve</t>
  </si>
  <si>
    <t>Interface expectation</t>
  </si>
  <si>
    <t>Wave</t>
  </si>
  <si>
    <t>Decision IDs</t>
  </si>
  <si>
    <t>DOM01</t>
  </si>
  <si>
    <t>DOM02</t>
  </si>
  <si>
    <t>DOM03</t>
  </si>
  <si>
    <t>DOM04</t>
  </si>
  <si>
    <t>DOM05</t>
  </si>
  <si>
    <t>DOM06</t>
  </si>
  <si>
    <t>DOM07</t>
  </si>
  <si>
    <t>DOM08</t>
  </si>
  <si>
    <t>DOM09</t>
  </si>
  <si>
    <t>Option</t>
  </si>
  <si>
    <t>Change</t>
  </si>
  <si>
    <t>Benefit</t>
  </si>
  <si>
    <t>Cost / limitation</t>
  </si>
  <si>
    <t>Recommendation</t>
  </si>
  <si>
    <t>User decision</t>
  </si>
  <si>
    <t>A</t>
  </si>
  <si>
    <t>B</t>
  </si>
  <si>
    <t>C</t>
  </si>
  <si>
    <t>Catalog field</t>
  </si>
  <si>
    <t>Meaning</t>
  </si>
  <si>
    <t>Constraint / implementation rule</t>
  </si>
  <si>
    <t>Example or required evidence</t>
  </si>
  <si>
    <t>Owner confirmation</t>
  </si>
  <si>
    <t>Field contracts and confirmation space</t>
  </si>
  <si>
    <t>Visible = text in the draft. Inferred link = candidate correspondence. Amber cells are intentionally unfilled for true NPZ metadata and owner confirmation.</t>
  </si>
  <si>
    <t>Contract field</t>
  </si>
  <si>
    <t>Role</t>
  </si>
  <si>
    <t>Proposed definition</t>
  </si>
  <si>
    <t>Validation / preservation rule</t>
  </si>
  <si>
    <t>Delivery plan and release boundaries</t>
  </si>
  <si>
    <t>Phase</t>
  </si>
  <si>
    <t>Work package</t>
  </si>
  <si>
    <t>Execution steps</t>
  </si>
  <si>
    <t>Predecessors</t>
  </si>
  <si>
    <t>Exit / acceptance criteria</t>
  </si>
  <si>
    <t>Rollback / preservation</t>
  </si>
  <si>
    <t>Suggested role</t>
  </si>
  <si>
    <t>Decision dependencies</t>
  </si>
  <si>
    <t>Assigned owner</t>
  </si>
  <si>
    <t>Target date</t>
  </si>
  <si>
    <t>Status</t>
  </si>
  <si>
    <t>Completion evidence / notes</t>
  </si>
  <si>
    <t>Recording check</t>
  </si>
  <si>
    <t>Not started</t>
  </si>
  <si>
    <t>Acceptance scenarios and evidence log</t>
  </si>
  <si>
    <t>These are proposed execution tests, all Not run. Numerical tolerance must be agreed before comparisons. Structural checks do not validate valuation results.</t>
  </si>
  <si>
    <t>Area</t>
  </si>
  <si>
    <t>Required fixture</t>
  </si>
  <si>
    <t>Procedure</t>
  </si>
  <si>
    <t>Expected behavior</t>
  </si>
  <si>
    <t>Comparison / tolerance rule</t>
  </si>
  <si>
    <t>Execution status</t>
  </si>
  <si>
    <t>Observed result</t>
  </si>
  <si>
    <t>Evidence reference</t>
  </si>
  <si>
    <t>Executed by</t>
  </si>
  <si>
    <t>User notes</t>
  </si>
  <si>
    <t>T01</t>
  </si>
  <si>
    <t>Not run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</si>
  <si>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</si>
  <si>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</si>
  <si>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</si>
  <si>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</si>
  <si>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</si>
  <si>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</si>
  <si>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</si>
  <si>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</si>
  <si>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</si>
  <si>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</si>
  <si>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</si>
  <si>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</si>
  <si>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</si>
  <si>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</si>
  <si>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</si>
  <si>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</si>
  <si>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</si>
  <si>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Open decisions and editable resolution log</t>
  </si>
  <si>
    <t>Unconfirmed items are decision inputs, not proven model defects. Record a resolution and its evidence before changing a native contract.</t>
  </si>
  <si>
    <t>Needed by</t>
  </si>
  <si>
    <t>Decision topic</t>
  </si>
  <si>
    <t>Observed fact / limitation</t>
  </si>
  <si>
    <t>Proposed default</t>
  </si>
  <si>
    <t>Question to resolve</t>
  </si>
  <si>
    <t>Evidence basis</t>
  </si>
  <si>
    <t>Affected scope</t>
  </si>
  <si>
    <t>Resolution / supporting evidence</t>
  </si>
  <si>
    <t>D01</t>
  </si>
  <si>
    <t>Open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</si>
  <si>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</si>
  <si>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</si>
  <si>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</si>
  <si>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</si>
  <si>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</si>
  <si>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</si>
  <si>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</si>
  <si>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</si>
  <si>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</si>
  <si>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</si>
  <si>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</si>
  <si>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</si>
  <si>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</si>
  <si>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</si>
  <si>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</si>
  <si>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</si>
  <si>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</si>
  <si>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</si>
  <si>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</si>
  <si>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Source evidence register</t>
  </si>
  <si>
    <t>E = ESG original line | C:/Users/Sweny/Documents/Codex/2026-09-21/latex-word/outputs/ESG_XML_2026-10-18/ESG_merged_draft.xml</t>
  </si>
  <si>
    <t>O = Omni original line | C:/Users/Sweny/OneDrive/Documents/Onboarding CB/Factor Out/Omni_merged_repaired.txt</t>
  </si>
  <si>
    <t>Only datasources support this proposal. Excerpts below are raw text, capped at 900 characters; original files retain complete declarations.</t>
  </si>
  <si>
    <t>Line reference</t>
  </si>
  <si>
    <t>Model</t>
  </si>
  <si>
    <t>Datasource (raw)</t>
  </si>
  <si>
    <t>Dataset (raw)</t>
  </si>
  <si>
    <t>Start line</t>
  </si>
  <si>
    <t>End line</t>
  </si>
  <si>
    <t>Evidence condition</t>
  </si>
  <si>
    <t>Raw declaration excerpt</t>
  </si>
  <si>
    <t>User source correction / notes</t>
  </si>
  <si>
    <t>E014</t>
  </si>
  <si>
    <t>ESG</t>
  </si>
  <si>
    <t>market_data</t>
  </si>
  <si>
    <t>g2pp</t>
  </si>
  <si>
    <t>Visible declaration; NPZ unverified</t>
  </si>
  <si>
    <t>&lt;dataset name="g2pp" type="Assumptions" size-type="DynamicSize" dtype="{ 'descr':\s[('a',\s' &amp;lt;f8'),\s('sigma_t',\s' &amp;lt;f8',\s(12,2,)),\s('rate_risk_premium',\s' &amp;lt;f8'),\s('correlation',\s' &amp;lt;f8',\s(9,9,))],\s 'fortran_order':\s False,\s 'shape':\s(1,),\s}" /&gt;</t>
  </si>
  <si>
    <t>E015</t>
  </si>
  <si>
    <t>hybrid_index</t>
  </si>
  <si>
    <t>&lt;dataset name="hybrid_index" type="Assumptions" size-type="FixedSize" dtype="{ 'descr':\s[('index_name',\s' |S20'),\s('algorithm_type',\s' &amp;lt;i4'),\s('',\s'|V4'),\s('equity_betas',\s' &amp;lt;f8',\s(3,)),\s('bond_betas',\s' &amp;lt;f8',\s(3,)),\s('equity_sigma',\s' &amp;lt;f8'),\s('bond_sigma',\s' &amp;lt;f8'),\s('index_cost',\s' &amp;lt;f8'),\s('equity_fee',\s' &amp;lt;f8'),\s('bond_fee',\s' &amp;lt;f8'),\s('equity_has_dividend',\s' |b1'),\s('fixed_bond_constraint',\s' |b1'),\s('is_excess_return',\s' |b1'),\s('',\s' |V5'),\s(( '-999\smeans\nso\ssharp\ratio\srules.', 'equity_sharp_ratio'),\s' &amp;lt;f8'),\s((-999\smeans\nso\ssharp\ratio\srules','bond_sharp_ratio'),\s' &amp;lt;f8'),\s('target_vol',\s' &amp;lt;f8'),\s('lower_target_vol',\s' &amp;lt;f8'),\s('upper_target_vol',\s' &amp;lt;f8'),\s('scale_factor',\s' &amp;lt;f8'),\s('equity_weight_min',\s' &amp;lt;f8'),\s('equity_weight_max',\s' &amp;lt;f8'),\s('bond_weight_min',\s' &amp;lt;f … [excerpt ends]</t>
  </si>
  <si>
    <t>E016</t>
  </si>
  <si>
    <t>inverse_gamma</t>
  </si>
  <si>
    <t>&lt;dataset name="inverse_gamma" type="Assumptions" size-type="DynamicSize" dtype="{ 'descr':\s[('v_0',\s' &amp;lt;f8',\s(4,)),\s('gamma',\s' &amp;lt;f8',\s(4,)),\s('vol_inf_bs_tenor',\s' &amp;lt;f8',\s(12,1,)),\s('vol_inf_bs',\s' &amp;lt;f8',\s(12,4,)),\s('reversion_tenor',\s' &amp;lt;f8',\s(12,1,)),\s('reversion',\s' &amp;lt;f8',\s(12,4,)),\s('vol_inf_tenor',\s' &amp;lt;f8',\s(12,1,)),\s('vol_inforen',\s' &amp;lt;f8',\s(12,4,)),\s('vol_of_vol_tenor',\s' &amp;lt;f8',\s(12,1,)),\s('vol_of_vol',\s' &amp;lt;f8',\s(12,4,)),\s('equity_risk_premium_tenor',\s' &amp;lt;f8',\s(12,1,)),\s('equity_risk_premium',\s' &amp;lt;f8',\s(12,4,)),\s('div_tenor',\s' &amp;lt;f8',\s(31,1,)),\s('div',\s' &amp;lt;f8',\s(31,4,)),\s('funding_spread_tenor',\s' &amp;lt;f8',\s(31,1,)),\s('funding_spread',\s' &amp;lt;f8',\s(31,4,))], \s 'fortran_order': \s False,\ s 'shape': \ s(1,), \ s}" /&gt;</t>
  </si>
  <si>
    <t>E017</t>
  </si>
  <si>
    <t>market_shocks</t>
  </si>
  <si>
    <t>&lt;dataset name="market_shocks" type="Assumptions" size-type="DynamicSize" dtype="{ 'descr':\s[('market_date',\s[('year',\s' &amp;lt;i4'),\s('month', \ s' &amp;lt;i4'), \ s('day', \ s' &amp;lt;i4')]), \ s('swap_rate_spot', \ s' &amp;lt;f8', \ s(12, \ s2)), \ s('swap_spread_spot', \ s' &amp;lt;f8', \ s(12, \ s2)), \ s('credit_spread_spot', \ s' &amp;lt;f8', \ s(12, \ s2)), \ s('npa_spread_spot', \ s' &amp;lt;f8', \ s(12, \ s2)), \ s('libor_spot_proxy', \ s' &amp;lt;f8', \ s(12, \ s2)), \ s('libor_sofr_spread', \ s' &amp;lt;f8'), \ s('spot_mxea', \ s' &amp;lt;f8'), \ s('spot_msea', \ s' &amp;lt;f8'), \ s('spot_rty', \ s' &amp;lt;f8'), \ s('spot_nasdaq', \ s' &amp;lt;f8'), \ s('spot_sptr', \ s' &amp;lt;f8'), \ s('spot_mlsb', \ s' &amp;lt;f8'), \ s('spot_pimco', \ s' &amp;lt;f8'), \ s('spot_mseh', \ s' &amp;lt;f8'), \ s('spot_ab', \ s' &amp;lt;f8'), \ s('spot_pimco_gem', \ s' &amp;lt;f8'), \ s('spot_spx_rc', \ s' &amp;lt;f8'), \ s('spot_lm', \ s' &amp;lt;f8'), \ s … [excerpt ends]</t>
  </si>
  <si>
    <t>E019</t>
  </si>
  <si>
    <t>market_base</t>
  </si>
  <si>
    <t>&lt;dataset name="market_base" type="Assumptions" size-type="FixedSize" dtype="{{descr':\s[('market_date',\s[('year',\s'&amp;lt;i4'),\s('month',\s'&amp;lt;i4'),\s('day',\s'&amp;lt;i4')]),\s('swap_rate_spot',\s'&amp;lt;f8',\s(12,\s2)),\s('swap_spread_spot',\s'&amp;lt;f8',\s(12,\s2)),\s('credit_spread_spot',\s'&amp;lt;f8',\s(12,\s2)),\s('npa_spread_spot',\s'&amp;lt;f8',\s(12,\s2)),\s('libor_spot_proxy',\s'&amp;lt;f8',\s(12,\s2)),\s('libor_sofr_spread',\s'&amp;lt;f8'),\s('spot_mxea',\s'&amp;lt;f8'),\s('spot_rty',\s'&amp;lt;f8'),\s('spot_nasdaq',\s'&amp;lt;f8'),\s('spot_sptr',\s'&amp;lt;f8'),\s('spot_mlsb',\s'&amp;lt;f8'),\s('spot_pimco',\s'&amp;lt;f8'),\s('spot_mseh',\s'&amp;lt;f8'),\s('spot_ab',\s'&amp;lt;f8'),\s('spot_pimco_gem',\s'&amp;lt;f8'),\s('spot_spx_rc',\s'&amp;lt;f8'),\s('spot_lm',\s'&amp;lt;f8'),\s('spot_dap',\s'&amp;lt;f8'),\s('spot_aqr',\s'&amp;lt;f8'),\s('spot_ab_global_allocator',\s'&amp;lt;f8'),\s('spot_pimbap',\s'&amp;lt;f8'),\s('spot_dfa',\s'&amp;lt;f8'),\s('sp … [excerpt ends]</t>
  </si>
  <si>
    <t>E020</t>
  </si>
  <si>
    <t>market_roll_foward</t>
  </si>
  <si>
    <t>&lt;dataset name="market_roll_foward" type="Assumptions" size-type="DynamicSize" dtype="{{descr':\s[('market_date',\s[('year',\s' &amp;lt;i4'),\s('month',\s' &amp;lt;i4'),\s('day',\s' &amp;lt;i4')]),\s('swap_rate_spot',\s' &amp;lt;f8',\s(12,\s2)),\s('swap_spread_spot',\s' &amp;lt;f8',\s(12,\s2)),\s('credit_spread_spot',\s' &amp;lt;f8',\s(12,\s2)),\s('npa_spread_spot',\s' &amp;lt;f8',\s(12,\s2)),\s('libor_spot_proxy',\s' &amp;lt;f8',\s(12,\s2)),\s('libor_sofr_spread',\s' &amp;lt;f8'),\s('spot',\s' &amp;lt;f8'),\s('spot_mxea',\s' &amp;lt;f8'),\s('spot_rty',\s' &amp;lt;f8'),\s('spot_nasdaq',\s' &amp;lt;f8'),\s('spot_sptr',\s' &amp;lt;f8'),\s('spot_mlsb',\s' &amp;lt;f8'),\s('spot_pimco',\s' &amp;lt;f8'),\s('spot_mseh',\s' &amp;lt;f8'),\s('spot_ab',\s' &amp;lt;f8'),\s('spot_pimco_gem',\s' &amp;lt;f8'),\s('spot_spx_rc',\s' &amp;lt;f8'),\s('spot_lm',\s' &amp;lt;f8'),\s('spot_dap',\s' &amp;lt;f8'),\s('spot_aqr',\s' &amp;lt;f8'),\s('spot_ab_global_allocator',\s' &amp;lt;f8'),\s('sp … [excerpt ends]</t>
  </si>
  <si>
    <t>E023</t>
  </si>
  <si>
    <t>inforce</t>
  </si>
  <si>
    <t>policies</t>
  </si>
  <si>
    <t>&lt;dataset name="policies" alias="Inforce" type="Inforce" size-type="DynamicSize" dtype="{‘descr’:\s[('tape_date',\s[('year',\s&amp;lt;i4'),\s('month',\s&amp;lt;i4'),\s('is_joint_policy',\s'|b1'),\s('',\s'|V3'),\s('gender_1',\s&amp;lt;i4'),\s('gender_2',\s&amp;lt;i4'),\s('issue_date',\s[('year',\s&amp;lt;i4'),\s('month',\s&amp;lt;i4'),\s('day',\s&amp;lt;i4')],\s('issue_age_2',\s&amp;lt;i4'),\s('dob_2',\s[('year',\s&amp;lt;i4'),\s('dob_1',\s[('year',\s&amp;lt;i4'),\s('month',\s&amp;lt;i4')],\s('round',\s'|V4'),\s('accum_fee_history',\s&amp;lt;f8'),\s('accum_withdrawal_history',\s&amp;lt;f8'),\s('withdrawal_since_last_anniversary',\s&amp;lt;f8'),\s('income_base',\s&amp;lt;f8'),\s('income_credit_base',\s&amp;lt;f8'),\s('income_credit_percentage',\s&amp;lt;f8'),\s('multiplier',\s&amp;lt;f8'),\s('adjusted_multiplier',\s&amp;lt;f8'),\s('premium_enhancement_base',\s&amp;lt;f8'),\s('highest_account_value',\s&amp;lt;f8'),\s('participation_rate',\s&amp;lt;f8'),\s('valuation … [excerpt ends]</t>
  </si>
  <si>
    <t>E046</t>
  </si>
  <si>
    <t>cap_and_strike</t>
  </si>
  <si>
    <t>&lt;dataset name="cap_and_strike" type="Assumptions" size-type="FixedSize" dtype="{{scr':\s[('ap2p_cap',\s'alt;f4',\s(6,)),\s('mp2p_cap',\s'alt;f4',\s(6,)),\s('strike',\s'alt;f4',\s(8,)),\s('participation_rate',\s'alt;f4',\s(6,)),\s('participation_rate_cliquet',\s'alt;f4',\s(6,)),\s('spread_cliquet',\s'alt;f4',\s(6,)),\s('x5_spread',\s'alt;f4',\s(6,)),\s('participation_rate_aqr_ab',\s'alt;f4',\s(6,)),\s('ig_strike',\s'alt;f4',\s(16,)),\s('binary_call_strike_epsilon',\s'alt;f4'),\s('put_strike',\s'alt;f4',\s(5,)),\s('extended_strike_1y',\s'alt;f4',\s(12,)),\s('extended_strike_6y',\s'alt;f4',\s(11,)),\s('sptr_strike_put_1y',\s'alt;f4',\s(11,)),\s('sptr_strike_call_1y',\s'alt;f4',\s(11,)),\s('binary_strike',\s'alt;f4',\s(3,)),\s('barrier_level_3y',\s'alt;f4',\s(3,)),\s('barrier_level_6y',\s'alt;f4',\s(3,)),\s('secure_strike_6y',\s'alt;f4',\s(10,))],\s'fortran_order':\sFalse,\s'shap … [excerpt ends]</t>
  </si>
  <si>
    <t>E049</t>
  </si>
  <si>
    <t>actuarial_assumptions_gaap</t>
  </si>
  <si>
    <t>Mortality_gaap</t>
  </si>
  <si>
    <t>&lt;dataset name="Mortality_gaap" type="Assumptions" size-type=" FixedSize" dtype="{{scr':\s[('Male,\sfemale\sor\nobody','RiskClass'),\s'alt;i4'),\s('', \s'|V4'),\s((', \s'|V4'),\s(('Base\smortality\srate','BaseRates'),\s'alt;f8',\s(121L),),\s(('Annuity\sfactor','AnnFac'),\s'alt;f8',\s(47L,11L),),\s(('Parameters\sfor smortality\simprovement/scalculation','Scale_G2'),\s'alt;f8',\s(121L),),\s(('Mortality\smultiplier\swith/sliving\sbenefit','Mult_GLB'),\s'alt;f8',\s(121L),),\s Frag, \s shape: \s(3L), \s}" /&gt;</t>
  </si>
  <si>
    <t>E050</t>
  </si>
  <si>
    <t>FullSurrender_gaap</t>
  </si>
  <si>
    <t>&lt;dataset name="FullSurrender_gaap" type="Assumptions" size-type=" FixedSize" dtype="{{scr':\s[('urrender_charge_period', \s'alt;i4'), \s('', \s'|V4'), \s(('Fullssurrender\sprobability\s schedule,\used sin\sbase/slapse/scalculation','probability'), \s 'Fortran_order': \sFalse, \s(20L,2L,))], \s 'Fortran_order': \sFalse, \s shape: \s(11220,), \s}" /&gt;</t>
  </si>
  <si>
    <t>E053</t>
  </si>
  <si>
    <t>product_info</t>
  </si>
  <si>
    <t>mwv_info</t>
  </si>
  <si>
    <t>&lt;dataset name="mwv_info" type="Assumptions" size-type="DynamicSize" dtype="{{scr':\s[('mwv_id', \s'alt;i4'), \s('', \s'|V4'), \s('mwv_percentage_1', \s'alt;f8'), \s('mwv_percentage_2', \s'alt;f8'), \s('mwv_rate_1', \s'alt;f8'), \s('mwv_rate_2', \s'alt;f8')], \s 'Fortran_order': \SFalse, \S shape': \S(11220,), \s}" /&gt;</t>
  </si>
  <si>
    <t>E054</t>
  </si>
  <si>
    <t>gmwb_fee</t>
  </si>
  <si>
    <t>&lt;dataset name="gmwb_fee" type="Assumptions" size-type="DynamicSize" dtype="{{scr':\S[('GMWB_FEE_ID', \S'alt;i4'), \S('', \S'|V4'), \S(FEE_PERCENT', \S'alt;f8')], \S 'Fortran_order': \SFalse, \S shape': \S(119,), \S}" /&gt;</t>
  </si>
  <si>
    <t>E055</t>
  </si>
  <si>
    <t>glb_mawa_rate</t>
  </si>
  <si>
    <t>&lt;dataset name="glb_mawa_rate" type="Assumptions" size-type="DynamicSize" dtype="{{scr':\S[('mawa_id', \S'alt;i4'), \S('', \S'|V4'), \S ('mawa_rate', \S'alt;f8', \S(121,))], \S 'Fortran_order': \SFalse, \S shape': \S(311,), \S}" /&gt;</t>
  </si>
  <si>
    <t>E056</t>
  </si>
  <si>
    <t>glb_pip_rate</t>
  </si>
  <si>
    <t>&lt;dataset name="glb_pip_rate" type="Assumptions" size-type="DynamicSize" dtype="{{scr':\S[('pip_id', \S'alt;i4'), \S('', \S'|V4'), \S 'pip_rate', \S'alt;f8', \S(121,))], \S 'Fortran_order': \SFalse, \S shape': \S(313,), \S}" /&gt;</t>
  </si>
  <si>
    <t>E057</t>
  </si>
  <si>
    <t>glb_income_percentage_guardian</t>
  </si>
  <si>
    <t>&lt;dataset name="glb_income_percentage_guardian" type="Assumptions" size-type="DynamicSize" dtype="{{scr':\S[('glip_id', \S'alt;i4'), \S('', \S'|V4'), \S('income_percentage', \S'alt;f8', \S(31,51,))], \S 'Fortran_order': \SFalse, \S shape': \S(2,), \S}" /&gt;</t>
  </si>
  <si>
    <t>E058</t>
  </si>
  <si>
    <t>glb_info</t>
  </si>
  <si>
    <t>&lt;dataset name="glb_info" type="Assumptions" size-type="DynamicSize" dtype="{{scr':\S[('GLB_ID', \S'alt;i4'), \S('RIDER_TYPE', \S'alt;i4'), \S('INCOME_CREDIT_PERIOD', \S'alt;i4'), \S('NET_INCOME_CREDIT', \S'|b1'), \S('DOUBLING_INCOME_BASE', \S'|b1'), \S('NO_INCOME_GROWTH_AFTER_WD', \S'|b1'), \S('', \S'|V1'), \S('IS_JOINT', \S'alt;i4'), \S('IS_FLEX', \S'alt;i4')], \S 'Fortran_order': \SFalse, \S shape': \S(97,), \S}" /&gt;</t>
  </si>
  <si>
    <t>E059</t>
  </si>
  <si>
    <t>rate_setting_parameters_2021</t>
  </si>
  <si>
    <t>&lt;dataset name="rate_setting_parameters_2021" type="Assumptions" size-type="DynamicSize" dtype="{{scr':\S[('rate_setting_id', \S'alt;i4'), \S('', \S'|V4'), \S('liquidity_spread', \S'alt;f8'), \S('alpha_during_cdsc', \S'alt;f8'), \S('alpha_after_cdsc', \S'alt;f8'), \S('beta_up', \S'alt;f8'), \S('beta_down', \S'alt;f8')], \S 'Fortran_order': \SFalse, \S shape': \S(7,), \S}" /&gt;</t>
  </si>
  <si>
    <t>E060</t>
  </si>
  <si>
    <t>surrender_charge</t>
  </si>
  <si>
    <t>&lt;dataset name="surrender_charge" type="Assumptions" size-type="DynamicSize" dtype="{{scr':\S[('surrender_charge_id', \S'alt;i4'), \S('', \S'|V4'), \S('surrender_charge_rate', \S'alt;f8', \S(21,))], \S 'Fortran_order': \SFalse, \S shape': \S(532,), \S}" /&gt;</t>
  </si>
  <si>
    <t>E061</t>
  </si>
  <si>
    <t>historical_npa</t>
  </si>
  <si>
    <t>&lt;dataset name="historical_npa" type="Assumptions" size-type="DynamicSize" dtype="{{scr':\S[('ID', \S'alt;i4'), \S('', \S'|V4'), \S('RATE', \S'alt;f8',
            \s(12,2,),\s('TOTAL_SPREAD',\s' &amp;lt;f8',\s(12,2,))],\s'fortran_order':\sFalse,\s'shape':\s(1973,),\s}" /&gt;</t>
  </si>
  <si>
    <t>E065</t>
  </si>
  <si>
    <t>actuarial_assumptions_2018_q3</t>
  </si>
  <si>
    <t>Mortality_2018</t>
  </si>
  <si>
    <t>&lt;dataset name="Mortality_2018" type="Assumptions" size-type="FixedSize" dtype="{ 'descr':\s[(( 'Male,\sfemale\sor\snobody','RiskClass'),\s' &amp;lt;i4'),\s('', \s'|V4'),\s(( 'Base\smortality\srate', 'BaseRates'),\s' &amp;lt;f8',\s(121L),)),\s(( 'Annuity\sfactor', 'AnnFac'),\s' &amp;lt;f8',\s(47L,11L),)),\s(( 'Parameters\sfor\smortality\simprovement\scalculation', 'Scale_G2'),\s' &amp;lt;f8',\s(121L),)),\s(( 'Mortality\smultiplier\swith\sliving\sbenefit', 'Mult_GLB'),\s' &amp;lt;f8',\s(121L),)),\s(( 'Mortality\smultiplier\swithout\sliving\sbenefit', 'Mult_no_GLB'),\s' &amp;lt;f8',\s(121L,))],\s'fortran_order':\sFalse,\s'shape':\s(3L,),\s}" /&gt;</t>
  </si>
  <si>
    <t>E066</t>
  </si>
  <si>
    <t>FullSurrender_2018</t>
  </si>
  <si>
    <t>&lt;dataset name="FullSurrender_2018" type="Assumptions" size-type="FixedSize" dtype="{ 'descr':\s[(( 'surrender_charge_period',\s' &amp;lt;i4'),\s('', \s'|V4'),\s(( 'Full\surrender\sprobability\sschedule,\sused\sin\sbase\slapse\scalculation', 'probability'),\s' &amp;lt;f8',\s(20L,2L,))],\s'fortran_order':\sFalse,\s'shape':\s(19L,),\s}" /&gt;</t>
  </si>
  <si>
    <t>E067</t>
  </si>
  <si>
    <t>FirstPartialWithdrawal_2018</t>
  </si>
  <si>
    <t>&lt;dataset name="FirstPartialWithdrawal_2018" type="Assumptions" size-type="FixedSize" dtype="{ 'descr':\s[(( 'Minimum\sages\sof\ssingle\saccount', 'min_age_single'),\s' &amp;lt;i4',\s(7L,)),\s('', \s'|V4'),\s(( 'First\spartial\withdrawal\sprobability\sfor\smin_age_single', 'probability_single'),\s' &amp;lt;f8',\s(7L,16L,))],\s'fortran_order':\sFalse,\s'shape':\s(11L,),\s}" /&gt;</t>
  </si>
  <si>
    <t>E070</t>
  </si>
  <si>
    <t>actuarial_assumptions_2019_q3</t>
  </si>
  <si>
    <t>FirstPartialWithdrawal_2019</t>
  </si>
  <si>
    <t>&lt;dataset name="FirstPartialWithdrawal_2019" type="Assumptions" size-type="FixedSize" dtype="{ 'descr':\s[(( 'First\spartial\withdrawal\sprobability\sfor\smin_age_single', 'probability single', \s' &amp;lt;f8',\s(36L,27L,))], \s'fortran_order':\sFalse,\s'shape':\s(17,),\s}" /&gt;</t>
  </si>
  <si>
    <t>E071</t>
  </si>
  <si>
    <t>FullSurrender_2019</t>
  </si>
  <si>
    <t>&lt;dataset name="FullSurrender_2019" type="Assumptions" size-type="FixedSize" dtype="{ 'descr':\s[(( 'surrender_charge_period', \s' &amp;lt;i4'), \s('', \s'|V4'), \s(( 'Full\surrender\sprobability\sschedule,\sused\sin\sbase\slapse\scalculation', 'probability'), \s' &amp;lt;f8',\s(20L,2L,))], \s'fortran_order':\sFalse,\s'shape':\s(21,),\s}" /&gt;</t>
  </si>
  <si>
    <t>E072</t>
  </si>
  <si>
    <t>Mortality_2019</t>
  </si>
  <si>
    <t>&lt;dataset name="Mortality_2019" type="Assumptions" size-type="FixedSize" dtype="{ 'descr':\s[(( 'Male,\sfemale\sor\snobody','RiskClass'), \s' &amp;lt;i4'), \s('', \s'|V4'), \s(( 'Base\smortality\srate', 'BaseRates'), \s' &amp;lt;f8', \s(121L,)), \s(( 'Annuity\sfactor', 'AnnFac'), \s' &amp;lt;f8', \s(47L,11L,)), \s(( 'Parameters\sfor\nsmortality\simprovement\scalculation', 'Scale_G2'), \s' &amp;lt;f8', \s(121L,)), \s(( 'Mortality\smultiplier\swith\sliving\sbenefit', 'Mult_GLB'), \s' &amp;lt;f8', \s(121L),)), \s(( 'Mortality\smultiplier\sfor\x5\xproducts\swith\nsliving\sbenefit', 'Mult_GLB_X5'), \s' &amp;lt;f8', \s(121L),)), \s(( '(Mortality\smultiplier\sfor\x5\xproducts\nwithout\sliving\sbenefit', 'Mult_no_GLB_X5'), \s' &amp;lt;f8', \s(121L,))], \s'fortran_order':\Sfalse,\S'shape':\S(3,),\S}" /&gt;</t>
  </si>
  <si>
    <t>E073</t>
  </si>
  <si>
    <t>WithdrawalAmount_2019</t>
  </si>
  <si>
    <t>&lt;dataset name="WithdrawalAmount_2019" type="Assumptions" size-type="FixedSize" dtype="{ 'descr':\S[ ('mawa_mult', \s' &amp;lt;f8', \S(3L,)), \S'(prob_init', \S' &amp;lt;f8', \S(3L,))], \S'fortran_order':\SFalse,\S'shape':\S(2,),\S}" /&gt;</t>
  </si>
  <si>
    <t>E076</t>
  </si>
  <si>
    <t>actuarial_assumptions_2020_q3</t>
  </si>
  <si>
    <t>marriage_divorce_rates</t>
  </si>
  <si>
    <t>&lt;dataset name="marriage_divorce_rates" type="Assumptions" size-type="FixedSize" dtype="{ 'descr':\S[ ('age', \S' &amp;lt;i4', \S(31L,)), \S('', \S'|V4'), \S'(marriage_rate', \S' &amp;lt;f8', \S(31L,)), \S'(divorce_rate', \S' &amp;lt;f8', \S(31L,)), \S'(laspe_multiplier', \S' &amp;lt;f8')], \S'fortran_order':\SFalse,\S'shape':\S(), \S}" /&gt;</t>
  </si>
  <si>
    <t>E077</t>
  </si>
  <si>
    <t>FirstPartialWithdrawal_2020</t>
  </si>
  <si>
    <t>&lt;dataset name="FirstPartialWithdrawal_2020" type="Assumptions" size-type="FixedSize" dtype="{ 'descr':\S[(( 'First\spartial\withdrawal\sprobability\nfor\smin_age_single', 'probability single'), \S' &amp;lt;f8', \S(36L,27L,))], \S'fortran_order':\SFalse,\S'shape':\S(19,),\S}" /&gt;</t>
  </si>
  <si>
    <t>E078</t>
  </si>
  <si>
    <t>Confinement_annual</t>
  </si>
  <si>
    <t>&lt;dataset name="Confinement_annual" type="Assumptions" size-type="FixedSize" dtype="{ 'descr':\S[('gender', \S' &amp;lt;i4'), \S('', \S'|V4'), \S'(incidence_rate', \S' &amp;lt;f8', \S(66L,60L,)), \S'(recovery_rate', \S' &amp;lt;f8', \S(66L,60L,)), \S'(c_mortality_rate', \S' &amp;lt;f8', \S(66L,60L,)), \S'(c_mortality_rate', \S' &amp;lt;f8', \S(66L,60L,)), \S'(c_mortality_rate', \S' &amp;lt;f8', \S(66L,60L,)), \S'(benefit_utilization_rate', \S' &amp;lt;f8')], \S'fortran_order':\SFalse,\S'shape':\S(3,),\S}" /&gt;</t>
  </si>
  <si>
    <t>E081</t>
  </si>
  <si>
    <t>actuarial_assumptions_at_issue</t>
  </si>
  <si>
    <t>FirstPartialWithdrawal_at_issue</t>
  </si>
  <si>
    <t>&lt;dataset name="FirstPartialWithdrawal_at_issue" type="Assumptions" size-type="FixedSize" dtype="{‘descr’:\s[('issue_year',\s‘&lt;i4'),\s('',\s' | V4'),\s('lip_qualified_nonPSPI',\s‘&lt;f8',\s(31L,16L,)),\s('pre_qualified_PSPI',\s‘&lt;f8',\s(31L,16L,)),\s('lip_unqualified_nonPSPI',\s‘&lt;f8',\s(31L,16L,)),\s('post_unqualified_PSPI',\s‘&lt;f8',\s(31L,16L,)),\s('min_age_60_qualified_nonPSPI',\s‘&lt;f8',\s(31L,16L,)),\s('min_age_60_unqualified_nonPSPI',\s‘&lt;f8',\s(31L,16L,))],\s 'fortran_order':\sFalse,\s'shape':\s(6,),\s}" /&gt;</t>
  </si>
  <si>
    <t>E082</t>
  </si>
  <si>
    <t>WithdrawalAmount_at_issue</t>
  </si>
  <si>
    <t>&lt;dataset name="WithdrawalAmount_at_issue" type="Assumptions" size-type="FixedSize" dtype="{‘descr’:\s[('mawa_mult',\s‘&lt;f8',\s(3,)),\s('prob_init',\s‘&lt;f8',\s(3,)),\s('prob_transition',\s‘&lt;f8',\s(3,3,)),\s('above_mawa_disable',\s‘&lt;f8'),\s('above_glia_disable',\s‘&lt;f8')],\s 'fortran_order':\sFalse,\s'shape':\s(2,),\s}" /&gt;</t>
  </si>
  <si>
    <t>E083</t>
  </si>
  <si>
    <t>FullSurrender_at_issue</t>
  </si>
  <si>
    <t>&lt;dataset name="FullSurrender_at_issue" type="Assumptions" size-type="FixedSize" dtype="{‘descr’:\s[('issue_year',\s‘&lt;f8'),\s('murrender_charge_period',\s‘&lt;f8',\s(8L,)),\s('',\s' | V4'),\s('rate_gmwb',\s‘&lt;f8',\s(8L,18L,)),\s('rate_gmdb_70',\s‘&lt;f8',\s(8L,18L,)),\s('systematic_withdrawal_multi',\s‘&lt;f8'),\s('apply_shock_lapse',\s' | b1'),\s('',\s' | V7')],\s 'fortran_order':\sFalse,\s'shape':\s(6,),\s}" /&gt;</t>
  </si>
  <si>
    <t>E084</t>
  </si>
  <si>
    <t>Mortality_at_issue</t>
  </si>
  <si>
    <t>&lt;dataset name="Mortality_at_issue" type="Assumptions" size-type="FixedSize" dtype="{‘descr':\s[('Male,\sfemale\sor\nobody','issue_year'),\s‘&lt;f8',\i4'),\s('',\s' | V4'),\s('Base\smortality\srate','BaseRates'),\s‘&lt;f8',\s(121L,3L),),\s(','Parameters\sfor\smortality\simprovement\scalculation','Scale_G2'),\s‘&lt;f8',\s(121L,3L,)),\s(','Mortality\smultiplier\swith/sliving\sbenefit','Mult_GLB'),\s‘&lt;f8',\s(121L,3L,)),\s('mortality_study_date',\s[('year',\s‘&lt;f8'),\s('month',\s‘&lt;f8'),\s('day',\is&amp;lt;i4')],\is('',\is' | V4')],\is 'fortran_order':\False,\s'shape':\is(6,),\is}" /&gt;</t>
  </si>
  <si>
    <t>E085</t>
  </si>
  <si>
    <t>dynamic_lapse_at_issue</t>
  </si>
  <si>
    <t>&lt;dataset name="dynamic_lapse_at_issue" type="Assumptions" size-type="FixedSize" dtype="{‘descr':\s[('issue_year',\s‘&lt;f8'),\s('',\s' | V4'),\s('dyn_lapse_at_spike_ITM_P1',\s‘&lt;f8'),\is('dyn_lapse_at_spike_ITM_P2',\is‘&lt;f8'),\is('dyn_lapse_at_spike_OTM_P1',\s‘&lt;f8'),\is('dyn_lapse_beyond_spike_ITM_P1',\s‘&lt;f8'),\is('dyn_lapse_beyond_spike_OTM_P2',\is‘&lt;f8'),\is('dyn_lapse_at_spike_OTM_P1_withdrawal',\s‘&lt;f8'),\is('dyn_lapse_at_spike_OTM_P2_withdrawal',\is‘&lt;f8'),\is('dyn_lapse_beyond_spike_OTM_P1_withdrawal',\s‘&lt;f8'),\is('dyn_lapse_beyond_spike_OTM_P2_withdrawal',\is‘&lt;f8'),\is('dyn_lapse_multiple_floor Floor',\is‘&lt;f8'),]\$ fortran_order':\\False,\$ shape':\\(2,),\\)\" /&gt;</t>
  </si>
  <si>
    <t>E086</t>
  </si>
  <si>
    <t>dynamic_lapse_legacy_at_issue</t>
  </si>
  <si>
    <t>&lt;dataset name="dynamic_lapse_legacy_at_issue" type="Assumptions" size-type="FixedSize" dtype="{‘descr':\s[('policy_year',\s‘&lt;f8');i4',\\(10L,)),\\(non_life_factor',\\$&lt;f8',\\(121L,11L,)),\\$('life_factor',\\$&lt;f8',\\(121L,2L,))],\\$ 'fortran_order':\\False,\$ shape':\\() ,\\}\" /&gt;</t>
  </si>
  <si>
    <t>E087</t>
  </si>
  <si>
    <t>FreePartialWithdrawal_at_issue</t>
  </si>
  <si>
    <t>&lt;dataset name="FreePartialWithdrawal_at_issue" type="Assumptions" size-type="FixedSize" dtype="{‘descr':\s[('Partial\nwithdrawal\spercentage\ssschedule','withdrawal_percent'),\\$&lt;f8',\\(121L,))],\\$ 'fortran_order':\\False,\$ shape':\\(6,),\\}\" /&gt;</t>
  </si>
  <si>
    <t>E090</t>
  </si>
  <si>
    <t>Assumptions</t>
  </si>
  <si>
    <t>PremiumEnhancementRecapture</t>
  </si>
  <si>
    <t>&lt;dataset name="PremiumEnhancementRecapture" type="Assumptions" size-type="FixedSize" dtype="{‘descr':\s[('Premium\nenhancement\sracapture\ssschedule',\\$schedule'),\\$&lt;f8',\\(13,))],\\$ 'fortran_order':\\False,\$ shape':\\(4,),\\)\" /&gt;</t>
  </si>
  <si>
    <t>E091</t>
  </si>
  <si>
    <t>ModelAssumptions</t>
  </si>
  <si>
    <t>&lt;dataset name="ModelAssumptions" type="Assumptions" size-type="FixedSize" dtype="{‘descr':\s[('Age\sof\spolicy\sholder\satsmaturity','MaturityAge'),\\$&lt;f8';i4'),\\$('disable_rate_setting',\\$' | b1'),\\$( ('True\sif\susing\sgas\sstation\srate\ssetting','use_gas_station_rate_setting'),\\$|b1'),\\$('use_constant_option_budget','\\$|b1'),\\$('run_first_income_credit_only','\\$|b1'),\\$ ('option_budget','\\$&lt;f8'),\\$( ('True\sif\susing\srisky\srate\sfor\sdiscounting,\$false\sif\susing\sriskless\srate.', 'use_risky_discounting'),\\$|b1'),\\$ (','\\(v3'),\\$ ('lapse_spike_period_length','\\$&lt;f8'),\\)
            \s('first_projection_idx',\s' &amp;lt; i4'),\s('base_isl_floor',\s' &amp;lt; f4'),\s('base_isl_cap',\s' &amp;lt; f4'),\s('above_mawa_disable',\s' &amp;lt; f4'),
            \s('lapse_wd_multiplier',\s' &amp;lt; f4'),\s('glwb_shock_lapse_multiplier',\s' &amp;lt; f4'),\s('mortality_study_date',\s[(' … [excerpt ends]</t>
  </si>
  <si>
    <t>E097</t>
  </si>
  <si>
    <t>DebugSwitch</t>
  </si>
  <si>
    <t>&lt;dataset name="DebugSwitch" type="Assumptions" size-type="FixedSize" dtype="{descr}: \s[((Turn'soff/on'sdynamic/slapse'sfeature', 'disable_dynamic_lapse'), \s'|b1'), \s((Turn'soff/on'sinterest'srate/slapse'sfeature', 'disable_interest_rate_lapse'), \s'|b1'), \s((Turn'soff/on'sMVA'sfeature', 'disable_MVA'), \s'|b1'), \s((Turn'soff/on'sdynamic'sminimum'swithdrawal'sfeature', 'disable_MWV'), \s'|b1'), \s('disable_mortality', \s'|b1'), \s('disable_lapse', \s'|b1'), \s('disable_withdrawal', \s'|b1'), \s('disable_withdrawal_amount', \s'|b1'), \s('disable_glwb_shock_lapse', \s'|b1'), \s('disable_rider_fee', \s'|b1'), \s('use_2019_q3_mortality_assumptions', \s'|b1'), \s('use_2019_q3_lapse_assumptions', \s'|b1'), \s('use_2020_q3_withdrawal_assumptions', \s'|b1'), \s('use_2023_q3_mortality_assumptions', \s'|b1'), \s('use_2023_q3_withdrawal_amount Presumptions', \s'|b1'), \s('use_2023_q … [excerpt ends]</t>
  </si>
  <si>
    <t>E099</t>
  </si>
  <si>
    <t>FreePartialWithdrawal</t>
  </si>
  <si>
    <t>&lt;dataset name="FreePartialWithdrawal" type="Assumptions" size-type="FixedSize" dtype="{descr}: \S[((Partial'swithdrawal'spercentage'sschedule', \S' withdrawal_percent'), \S' &amp;lt; f4', \S(121,))], \S' fortran_order':\SFalse,\S shape':\S(2, ),\S}" /&gt;</t>
  </si>
  <si>
    <t>E100</t>
  </si>
  <si>
    <t>ActuarialShocks</t>
  </si>
  <si>
    <t>&lt;dataset name="ActuarialShocks" type="Assumptions" size-type="FixedSize" dtype="{descr}: \S[('mortality_rate_shock_multiplier', \S' &amp;lt; f4'),
            \s('mortality_improvement_shock_multiplier', \S' &amp;lt; f4'), \S('base_lapse_rate_shock_multiplier', \S' &amp;lt; f4'), \S('interest_dynamic_lapse_shock_multiplier',
            \s' &amp;lt; f4'), \\'(is_itm_dynamic_lapse_shocked', \$|b1'), \\( 'is_utilization_shocked', \$|b1'), \\( '', \$|V2'), \\( 'mawa_shock_multiplier', \$&amp;lt; f4'),
            \s( 'use_npa_at_issue', \$|b1'), \\( '', \$|V3')] ,\\S fortran_order':\\SFalse,\S shape':\\S(),\\S}" /&gt;</t>
  </si>
  <si>
    <t>E104</t>
  </si>
  <si>
    <t>ReinvestmentPercentage</t>
  </si>
  <si>
    <t>&lt;dataset name="ReinvestmentPercentage" type="Assumptions" size-type="FixedSize" dtype="{descr}: \S[('min_sc_period', \$&amp;lt; i4'),
            \s( 'reinvestment_percentage', \$&amp;lt; f4', \$(80, \$2))], \\S fortran_order':\\SFalse,\S shape':\\S(3, ),\\S}" /&gt;</t>
  </si>
  <si>
    <t>E106</t>
  </si>
  <si>
    <t>AccountingSetting</t>
  </si>
  <si>
    <t>&lt;dataset name="AccountingSetting" type="Assumptions" size-type="FixedSize" dtype="{descr}: \S[('accounting_type', \$|S35'), \\S ('mortality_margin',
            \s&amp;lt; f4'), \\( 'lapse_margin', \$&amp;lt; f4'), \\S((0:\ sdf_credit, s1:\ sdf_gaap, |sf_mrb', df_type), \\&amp;lt; i4'), \\S (gaap_claim_type ',\\&amp;lt; i4'),
            \s( 'option_budget_type', \$&amp;lt; i4'), \\S( 'use_at_issue_assumptions', \$|b1'), \\S( 'apply_lad', \$|b1'), \\S (is_running_dac', \$|b1'), \\S ('no_rate_setting',
            \s|b1')], \\S fortran_order':\\S False,\S shape':\\S(4, ),\\S}" /&gt;</t>
  </si>
  <si>
    <t>E110</t>
  </si>
  <si>
    <t>StrategyMap</t>
  </si>
  <si>
    <t>&lt;dataset name="StrategyMap" type="Assumptions" size-type="FixedSize" dtype="{descr}: \S[('investment_account', \$&amp;lt; i4'),
            \s( 'rate_setting_strategy_type', \$&amp;lt; i4'), \\S( 'strategy_desc', \$|S80'), \\S( 'crediting_term', \$&amp;lt; i4'), \\S( 'crediting_term_post_rate_setting', \$&amp;lt; i4'),
            \s( 'index_id', \$&amp;lt; i4')], \\S fortran_order':\\SFalse,\S shape':\\S(77, ),\\S}" /&gt;</t>
  </si>
  <si>
    <t>E115</t>
  </si>
  <si>
    <t>shocks</t>
  </si>
  <si>
    <t>&lt;dataset name="shocks" type="Shocks" size-type="DynamicSize" dtype="{descr}: \S[('run_shock_index', \$[('add', \$&amp;lt; f4'), \\S ('mul', \\S' &amp;lt; f4')] ]]
            s'fortran_order':\sFalse,\s'shape':\s(1,),\s}"&gt;
            &lt;shocked-columns&gt;
                &lt;c dataset="run" column="shock_index" auto-generated="True" shocks-column="run_shock_index" /&gt;
            &lt;/shocked-columns&gt;
        &lt;/dataset&gt;</t>
  </si>
  <si>
    <t>E123</t>
  </si>
  <si>
    <t>actuarial_assumptions_2023_q3</t>
  </si>
  <si>
    <t>Mortality_2023</t>
  </si>
  <si>
    <t>&lt;dataset name="Mortality_2023" type="Assumptions" size-type="FixedSize" dtype="{‘descr’:\s[('Male,\sfemale\sor\nobody','RiskClass'),\s‘&lt;i4'),\s('',\s'|V4'),\s('Base\smortality\srate','BaseRates'),\s‘&lt;f8',\s(121,)),\s('Annuity\sfactor','AnnFac'),\s‘&lt;f8',\s(47,11,)),\s('Parameters\sfor\smortality\simprovement','Scale_G2'),\s‘&lt;f8',\s(121,)),\s('Mortality\smultiplier\swith\sliving\sbenefit','Mult_no_GLB'),\s‘&lt;f8',\s(121,)),\s('Mortality\smultiplier\sfor\x5\sproduct\swith\sliving\sbenefit','Mult_GLB_X5'),\s‘&lt;f8',\s(121,)),\s('Mortality\smultiplier\sfor\x5\sproduct\swith\sliving\sbenefit','Mult_no_GLB_X5'),\s‘&lt;f8',\s(121,))],\s'fortran_order':\sFalse,\s'shape':\s(3,),\s}" /&gt;</t>
  </si>
  <si>
    <t>E124</t>
  </si>
  <si>
    <t>WithdrawalAmount_2023</t>
  </si>
  <si>
    <t>&lt;dataset name="WithdrawalAmount_2023" type="Assumptions" size-type="FixedSize" dtype="{‘descr’:\s[('mawa_mult',\s‘&lt;f8',\s(3L,)),\s('prob_init',\s‘&lt;f8',\s(3L,)),\s('prob_transition',\s‘&lt;f8',\s(3L,3L,))],\s'fortran_order':\sFalse,\s'sshape':\s(2,),\s}" /&gt;</t>
  </si>
  <si>
    <t>E125</t>
  </si>
  <si>
    <t>FirstPartialWithdrawal_2023</t>
  </si>
  <si>
    <t>&lt;dataset name="FirstPartialWithdrawal_2023" type="Assumptions" size-type="FixedSize" dtype="{‘descr’:\s[('First\spartial\nwithdrawal\sprobability\sfor\smin_age_single','probability_single'),\s‘&lt;f8',\s(36L,27L,))],\s'fortran_order':\sFalse,\s'shape':\s(23,),\s}" /&gt;</t>
  </si>
  <si>
    <t>E126</t>
  </si>
  <si>
    <t>FreePartialWithdrawal_2023</t>
  </si>
  <si>
    <t>&lt;dataset name="FreePartialWithdrawal_2023" type="Assumptions" size-type=" FixedSize" dtype="{‘descr’:\s[('withdrawal_rate_qualified',\s‘&lt;f8',\s(121,)),\s('rmd_age',\s‘&lt;f8',\s(121,))],\s('',\s'|V4')],\s'fortran_order':\sFalse,\s'shape':\s(),\s}" /&gt;</t>
  </si>
  <si>
    <t>E129</t>
  </si>
  <si>
    <t>actuarial_assumptions_2024_q3</t>
  </si>
  <si>
    <t>Mortality_2024</t>
  </si>
  <si>
    <t>&lt;dataset name="Mortality_2024" type="Assumptions" size-type=" FixedSize" dtype="{‘descr’:\s[('Male,\sfemale\sor\nobody','RiskClass'),\s‘&lt;i4'),\s('',\s'|V4'),\s('Base\smortality\srate','BaseRates'),\s‘&lt;f8',\s(121,)),\s('Annuity\sfactor','AnnFac'),\s‘&lt;f8',\s(47,11,)),\s(' Parameters\sfor \smortality\simprovement','Scale_G2'),\s‘&lt;f8',\s(121,)),\s('Mortality\smultiplier\swith\sliving\sbenefit','Mult_GLB'),\s‘&lt;f8',\s(121,)),\s('Mortality\smultiplier\sfor\x5\sproduct\swith\s living \sbenefit','Mult_GLB_X5'),\s‘&lt;f8',\s(121,))],\s'fortran_order':\sFalse,\s'shape':\s(3,),\s}" /&gt;</t>
  </si>
  <si>
    <t>E132</t>
  </si>
  <si>
    <t>actuarial_assumptions_2025_q3</t>
  </si>
  <si>
    <t>FullSurrender_2025</t>
  </si>
  <si>
    <t>&lt;dataset name="FullSurrender_2025" type="Assumptions" size-type=" FixedSize" dtype="{‘descr’:}\s[('surrender_charge_period',\s‘&lt;f8',\s(12,))], \s('Fullssurrender\sprobabilitysschedule,\used/sin\sbase/slapse/scalculation','probability'),\s‘&lt;f8',\s(20L,2L,))], \s'fortran_order':\sFalse,\ \ s shape':\\(21,,)\ s}" /&gt;</t>
  </si>
  <si>
    <t>E133</t>
  </si>
  <si>
    <t>lapse_skew_2025</t>
  </si>
  <si>
    <t>&lt;dataset name="lapse_skew_2025" type="Assumptions" size-type=" FixedSize" dtype="{‘descr’:}\s[('shock_lapse_skew_factor',\s‘&lt;f8',\s(12,))], \ s'fortran_order':\\False,\ \ s'shape':\\s(),\\s}" /&gt;</t>
  </si>
  <si>
    <t>E134</t>
  </si>
  <si>
    <t>WithdrawalAmount_2025</t>
  </si>
  <si>
    <t>&lt;dataset name="WithdrawalAmount_2025" type="Assumptions" size-type=" FixedSize" dtype="{‘descr’:}\s[('mawa_mult',\s‘&lt;f8',\s(3L,)),\s('prob_init', \ s‘&lt;f8',\\(3L,))], \ s'fortran_order':\\False,\ \ s'shape':\\(2,),\\s}" /&gt;</t>
  </si>
  <si>
    <t>E137</t>
  </si>
  <si>
    <t>actuarial_assumptions_2026_q3</t>
  </si>
  <si>
    <t>FullSurrender_2026</t>
  </si>
  <si>
    <t>Damaged / verify authority</t>
  </si>
  <si>
    <t>&lt;dataset name="FullSurrender_2026" type="Assumptions" size-type=" FixedSize" dtype="{‘descr’:}\s[('surrender_charge_period',\\$&lt;f8',\\$ ('',\\$ | V4'), \\t=fullssurrender\sprobability\s schedule,\used/sin\sbase/slapse/scalculation','probability'),\\$&lt;f8',\\$ (20L,2L,))],\\$fortran_order':\\False,\ \ s shape':\\$ shape':\\$ (2,),\\$ ] /&gt;</t>
  </si>
  <si>
    <t>E140</t>
  </si>
  <si>
    <t>&lt;dataset name="FullSurrender_2026" type="Assumptions" size-type=" FixedSize" dtype="{‘descr’:}\s[('succrendercharge_period',\\$&lt;f8',\\$ (12,))], \\t=fullssurrender\s Probability\s schedule,\used/sin\sbase/slapse/scalculation','probability'),\\$&lt;f8',\\$ (20L,2L,))],\\$fortran_order':\\False,\ \ s shape':\\$ (2,),\\$ ] /&gt;</t>
  </si>
  <si>
    <t>E143</t>
  </si>
  <si>
    <t>&lt;dataset name="FullSurrender_2026" type="Assumptions" size-type=" FixedSize" dtype="{‘descr’:}\s[('succrendercharge_duration',\\$&lt;f8',\\$ ('',\\$ | V4'), \\t=fullssurrender\s Probability\s schedule,\used/sin\sbase/slapse/scalculation','probability'),\\$&lt;f8',\\$ (20L,2L,))],\\$fortran_order':\\False,\ \ s shape':\\$ (2,),\\$ ] /&gt;</t>
  </si>
  <si>
    <t>E146</t>
  </si>
  <si>
    <t>&lt;dataset name="FullSurrender_2026" type="Assumptions" size-type=" FixedSize" dtype="{‘descr’:}\s[('succrendercharge_period',\\$&lt;f8',\\$ ('',\\$ | V4'), \\t=fullssurrender\s Probability\s schedule,\used/sin\sbase/slapse/scalculation','probability'),\\$&lt;f8',\\$ (20L,2L,))],\\$fortran_order':\\False,\ \ s shape':\\$ (2,),\\$ ] /&gt;</t>
  </si>
  <si>
    <t>E149</t>
  </si>
  <si>
    <t>actuarial_ Assumptions_2026_q3</t>
  </si>
  <si>
    <t>&lt;dataset name="FullSurrender_2026" type="Assumptions" size-type=" FixedSize" dtype="{‘descr’:}\s[('succrendercharge_period',\\$&lt;f8',\\$ ('',\\$ | V4'), \\t=fullssurrender\s Probability\s schedule,\used/sin\sbase/slapse/scalculation','probability'),\\$&lt;f8%,\\$ (20L,2L,))],\\$fortran_order':\\False,\ \ s shape':\\$ (2,),\\$ ] /&gt;</t>
  </si>
  <si>
    <t>E152</t>
  </si>
  <si>
    <t>actuarial Assumptions_2026_q3</t>
  </si>
  <si>
    <t>&lt;dataset name="FullSurrender_2026" type="Assumptions" size-type=" FixedSize" dtype="{‘descr’:}\s[('succrendercharge_period',\\$&lt;f8',\\$ ('',\\$ | V4'), \\t=fullssurrender\s Probability\s schedule,\used/sin\sbase/slapse/scalculation','probability'),\\$ &lt;f8',\\$ (20L,2L,))],\\$fortran_order':\\False,\ \ s shape':\\$ (2,),\\$ ] /&gt;</t>
  </si>
  <si>
    <t>E155</t>
  </si>
  <si>
    <t>&lt;dataset name="FullSurrender_2026" type="AssumPTIONS" size-type=" FixedSize" dtype="{‘descr’:}\s[('succrendercharge_period',\\$&lt;f8',\\$ ('',\\$ | V4'), \\t=fullssurrender\s Probability\s schedule,\used/sin\sbase/slapse/scalculation','probability'),\\$&lt;f8%,\\$ (20L,2L,))],\\$fortran_order':\\False,\ \ s shape':\\$ (2.5),\\$ ] /&gt;</t>
  </si>
  <si>
    <t>E158</t>
  </si>
  <si>
    <t>&lt;dataset name="FullSurrender_2026" type="AssumPTIONS" size-type=" FixedSize" dtype="{‘descr’:}\s[('succrendercharge_period',\\$&lt;f8', \\$ ('', \\$ | V4'), \\t=fullssurrender\s Probability\s schedule,\used/sin\sbase/slapse/scalculation','probability'), \\$&lt;f8%,\\$ (3L,3L,))],\\$fortran_order':\\False,\ \ s shape':\\$ (2.5),\\$ ] /&gt;</t>
  </si>
  <si>
    <t>E161</t>
  </si>
  <si>
    <t>&lt;dataset name="FullSurrender_2026" type="AssumPTIONS" size-type=" Fixed Size " dtype="{‘descr’:}\s[('succrendercharge_period',\\$&lt;f8', \\$ ('', \\$ | V4'), \\t=fullssurrender\s Probability\s schedule,\used/sin\sbase/slapse/scalculation','probability'), \\$&lt;f8%, \\$ (3L,3L,))], \\$fortran_order':\\False,\ \ s shape':\\$ (2.5),\\$ ] /&gt;</t>
  </si>
  <si>
    <t>E164</t>
  </si>
  <si>
    <t>&lt;dataset name="FullSurrender_2026" type="AssumPTIONS" size-type=" Fixed Size " dtype="{‘repr’:}\s[('succrendercharge_period', \\$&lt;f8', \\$ ('', \\$ | V4'), \\t=fullssurrender\s Probability\s schedule,\used/sin\sbase/slapse/scalculation','probability'), \\$&lt;f8%, \\$ (3L,3L,))], \\$fortran_order':\\False,\ \ s shape':\\$ (2.5),\\$ ] /&gt;</t>
  </si>
  <si>
    <t>E169</t>
  </si>
  <si>
    <t>[malformed datasource header]</t>
  </si>
  <si>
    <t>FreePartialWithdrawal_2026</t>
  </si>
  <si>
    <t>&lt;dataset name="FreePartialWithdrawal_2026" type="Assumptions" size-type="FixedSize" dtype="{{desc':\s[('withdrawal_rate_qualified',\s'&lt;f8',\s(121,)),\s('withdrawal_rate_non_qualified',\s'&lt;f8',\s(4,)),\s('rmd_age',\s'&lt;f8',\s(|V4')],\s'fortran_order':\sFalse,\s'shape':\s(),\s}" /&gt;</t>
  </si>
  <si>
    <t>E170</t>
  </si>
  <si>
    <t>FirstPartialWithdrawal_2026</t>
  </si>
  <si>
    <t>&lt;dataset name="FirstPartialWithdrawal_2026" type="Assumptions" size-type="FixedSize" dtype="{{desc':\s[('First\r\n{smin_age_single','probability_single'),\s'&lt;f8',\s(36L,27L,))],\s'fortran_order':\sFalse,\s'shape':\s(23,),\s}" /&gt;</t>
  </si>
  <si>
    <t>O018</t>
  </si>
  <si>
    <t>Omni</t>
  </si>
  <si>
    <t>custom_scenarios</t>
  </si>
  <si>
    <t>Rate</t>
  </si>
  <si>
    <t>&lt;dataset name="Rate" type="CustomScenario" size-type="DynamicSize" dtype="{'descr':\s[(('Scenario\snumber',\s'scn'),\s'&amp;lt;i4'),\s('',\s'|V4'),\s(('US\sTreasury\sYield',\s'ust_spot_pct'),\s'&amp;lt;f8',\s(1201,\s33)),\s(('US\sTreasury\sCoupon',\s'ust_par_pct'),\s'&amp;lt;f8',\s(1201,\s33)),\s(('Barclay\srates',\s'barclays_rate_pct'),\s'&amp;lt;f8',\s(1201,\s33)),\s(('A-rated\sbonds',\s'A_bond_yield_pct'),\s'&amp;lt;f8',\s(1201,\s33)),\s(('BB-rated\sbonds',\s'BB_bond_yield_pct'),\s'&amp;lt;f8',\s(1201,\s33)),\s(('BBB-rated\sbonds',\s'BBB_bond_yield_pct'),\s'&amp;lt;f8',\s(1201,\s33)),\s('sofr_par_pct',\s'&amp;lt;f8',\s(1201,\s33)),\s(('Corresponding\stenors\sfor\sUS\sTreasury\sYear\sYield\sdimension\s1',\s'ust_tenors'),\s'&amp;lt;f8',\s(33,))],\s'fortran_order':\sFalse,\s'shape':\s(200,)}" /&gt;</t>
  </si>
  <si>
    <t>O020</t>
  </si>
  <si>
    <t>Equity</t>
  </si>
  <si>
    <t>&lt;dataset name="Equity" type="CustomScenario" size-type="DynamicSize" dtype="{'descr':\s[(('Scenario\snumber',\s'scn'),\s'&amp;lt;i4'),\s(('index\sname',\s'index_name'),\s'&amp;lt;U100'),\s(('equity\sprice',\s'price'),\s'&amp;lt;f8',\s(1201,)),\s(('dividend',\s'income'),\s'&amp;lt;f8',\s(1201,)),\s('vol',\s'&amp;lt;f8',\s(1201,)),\s('div',\s'&amp;lt;f8',\s(1201,))],\s'fortran_order':\sFalse,\s'shape':\s(200,\s6)}" /&gt;</t>
  </si>
  <si>
    <t>O022</t>
  </si>
  <si>
    <t>Bond</t>
  </si>
  <si>
    <t>&lt;dataset name="Bond" type="CustomScenario" size-type="DynamicSize" dtype="{'descr':\s[(('Scenario\snumber',\s'scn'),\s'&amp;lt;i4'),\s(('index\sname',\s'index_name'),\s'&amp;lt;U100'),\s(('bond\sprice',\s'price'),\s'&amp;lt;f8',\s(1201,)),\s(('bond\sincome',\s'income'),\s'&amp;lt;f8',\s(1201,))],\s'fortran_order':\sFalse,\s'shape':\s(200,\s8)}" /&gt;</t>
  </si>
  <si>
    <t>O024</t>
  </si>
  <si>
    <t>Hybrid_Index</t>
  </si>
  <si>
    <t>&lt;dataset name="Hybrid_Index" type="CustomScenario" size-type="DynamicSize" dtype="{'descr':\s[('scn',\s'&amp;lt;i4'),\s('index_name',\s'&amp;lt;U100'),\s('price',\s'&amp;lt;f8',\s(1201,))],\s'fortran_order':\sFalse,\s'shape':\s(200,\s16)}" /&gt;</t>
  </si>
  <si>
    <t>O026</t>
  </si>
  <si>
    <t>fixed_rand</t>
  </si>
  <si>
    <t>&lt;dataset name="fixed_rand" type="Assumptions" size-type="FixedSize" dtype="{'descr':\s[('fixed_rand_num',\s'&amp;lt;f8',\s(1200,)),\s('cred_rate',\s'&amp;lt;f8',\s(1200,))],\s'fortran_order':\sFalse,\s'shape':\s()}" /&gt;</t>
  </si>
  <si>
    <t>O028</t>
  </si>
  <si>
    <t>NAER</t>
  </si>
  <si>
    <t>&lt;dataset name="NAER" type="CustomScenario" size-type="DynamicSize" dtype="{'descr':\s[(('projected\snet\sasset\searning\srates',\s'current_naer'),\s'&amp;lt;f8',\s(120,))],\s'fortran_order':\sFalse,\s'shape':\s(200,)}" /&gt;</t>
  </si>
  <si>
    <t>O030</t>
  </si>
  <si>
    <t>Volatility</t>
  </si>
  <si>
    <t>&lt;dataset name="Volatility" type="CustomScenario" size-type="DynamicSize" dtype="{'descr':\s[('vol_term',\s'&amp;lt;f8',\s(9,)),\s('vol_k',\s'&amp;lt;f8',\s(7,)),\s('vol',\s'&amp;lt;f8',\s(9,\s7))],\s'fortran_order':\sFalse,\s'shape':\s(200,)}" /&gt;</t>
  </si>
  <si>
    <t>O032</t>
  </si>
  <si>
    <t>fwd_rate</t>
  </si>
  <si>
    <t>&lt;dataset name="fwd_rate" type="CustomScenario" size-type="DynamicSize" dtype="{'descr':\s[(('Scenario\snumber',\s'scn'),\s'&amp;lt;i4'),\s('',\s'|V4'),\s(('US\sTreasury\s30\sYear\sYield',\s'ust_fwd_pct'),\s'&amp;lt;f8',\s(721,\s62)),\s(('Corresponding\stenors\sfor\sUS\sTreasury\sYear\sYield\sdimension\s1',\s'ust_fwd_tenors'),\s'&amp;lt;f8',\s(62,))],\s'fortran_order':\sFalse,\s'shape':\s(200,)}" /&gt;</t>
  </si>
  <si>
    <t>O036</t>
  </si>
  <si>
    <t>policy</t>
  </si>
  <si>
    <t>polVAFIA</t>
  </si>
  <si>
    <t>&lt;dataset name="polVAFIA" alias="Policy" description="Policy related information for annuity" type="Inforce" size-type="DynamicSize" dtype="{'descr':\s[('product',\s'|U10'),\s('prod_code',\s'|U50'),\s('legal_entity',\s'|U10'),\s('policy_number',\s'&amp;lt;i8'),\s('valuation_date',\s[('year',\s'&amp;lt;i4'),\s('month',\s'&amp;lt;i4'),\s('day',\s'&amp;lt;i4')]),\s('issue_date',\s[('year',\s'&amp;lt;i4'),\s('month',\s'&amp;lt;i4'),\s('day',\s'&amp;lt;i4')]),\s('issue_year',\s'&amp;lt;i4'),\s('pol_term_yr',\s'&amp;lt;i4'),\s('issue_age',\s'&amp;lt;i4'),\s('sex',\s'&amp;lt;i4'),\s('smoker',\s'&amp;lt;i4'),\s('issue_age_2',\s'&amp;lt;i4'),\s('sex_2',\s'&amp;lt;i4'),\s('smoker_2',\s'&amp;lt;i4'),\s('qual_status',\s'&amp;lt;i4'),\s('mva_ind',\s'&amp;lt;i4'),\s('prem_paym_perid',\s'&amp;lt;i4'),\s('',\s'|V4'),\s('annual_prem',\s'&amp;lt;f8'),\s('joint_type',\s'&amp;lt;i4'),\s('',\s'|V4'),\s('pol_if',\s'&amp;lt;f8'),\s('prem_freq',\s'&amp;lt;i4'),\s('ga_f_guar_term_years',\s'&amp;lt;i4'), … [excerpt ends]</t>
  </si>
  <si>
    <t>O056</t>
  </si>
  <si>
    <t>system_assumptions</t>
  </si>
  <si>
    <t>Global</t>
  </si>
  <si>
    <t>&lt;dataset name="Global" alias="Global" type="Assumptions" size-type="FixedSize" dtype="{'descr':\s[(('company\syear\send\smonth',\s'year_end_month'),\s'&amp;lt;i4'),\s(('maximum\sprojection\syear',\s'max_proj_yr'),\s'&amp;lt;i4'),\s(('projection\sfrequency\s(12\s=\smonthly)',\s'proj_freq'),\s'&amp;lt;i4'),\s(('whether\sto\soutput\sall\saging\sstep\sor\sjust\snum_agng_step',\s'output_all_aging'),\s'|b1'),\s('',\s'|V3'),\s(('number\sof\saging\sstep\s(start\sfrom\s0)',\s'num_aging_step'),\s'&amp;lt;i4'),\s(('aging\sfrequency\s(12\s=\smonthly)',\s'aging_freq'),\s'&amp;lt;i4'),\s(('whether\sto\suse\sthe\sscenario\sfile?\\xef\\xbf\\xbd\\xef\\xbf\\xbds\svaluation\sdate\sto\sdetermine\sthe\srate\slookup.',\s'use_scenario_time'),\s'|b1'),\s('',\s'|V3'),\s(('number\sof\sseparate\saccounts',\s'num_sa'),\s'&amp;lt;i4'),\s(('number\sof\sgeneral\sindexed\saccounts',\s'num_gai'),\s'&amp;lt;i4'),\s(('number\sof\spaths\sfor\sRNG',\s … [excerpt ends]</t>
  </si>
  <si>
    <t>O058</t>
  </si>
  <si>
    <t>Basis</t>
  </si>
  <si>
    <t>&lt;dataset name="Basis" alias="Basis" type="Assumptions" size-type="FixedSize" dtype="{'descr':\s[('basis',\s'|U50')],\s'fortran_order':\sFalse,\s'shape':\s(5,)}" /&gt;</t>
  </si>
  <si>
    <t>O061</t>
  </si>
  <si>
    <t>System</t>
  </si>
  <si>
    <t>&lt;dataset name="System" alias="System" description="System assumptions, do not change" type="Assumptions" size-type="FixedSize" dtype="{'descr':\s[(('wildcard\scharacter\sfor\sint',\s'wc_int'),\s'&amp;lt;i4'),\s(('wildcard\scharacter\sfor\sstring',\s'wc_str'),\s'|U15')],\s'fortran_order':\sFalse,\s'shape':\s()}" /&gt;</t>
  </si>
  <si>
    <t>O068</t>
  </si>
  <si>
    <t>prod_parameter</t>
  </si>
  <si>
    <t>AnnuityParam</t>
  </si>
  <si>
    <t>&lt;dataset name="AnnuityParam" alias="AnnuityParam" description="Parameters for annuity&amp;#13;&amp;#10;Use prod_code to look up the product level assumptions and feature group(e.g. gmdp_group).&amp;#13;&amp;#10;Then the assumptions for feature group can be looked up in the related annuity_assumptions data source with the feature group(e.g. gmdp_group)." type="Assumptions" size-type="DynamicSize" dtype="{'descr':\s[(('product\scode',\s'prod_code'),\s'|U50'),\s(('account\svalue\sgroup\sfor\sAV\sconfiguration\stable',\s'acct_value_group'),\s'|U50'),\s(('account\scredit\sgroup\sfor\sAV\scredit\sconfiguration\stable',\s'acct_credit_group'),\s'|U50'),\s(('investment\sspread\sfor\soption\sbudget\scalculation',\s'product_spread'),\s'&amp;lt;f8'),\s(('fixed\soption\sbudget\sfor\shedging',\s'fixed_option_budget'),\s'&amp;lt;f8'),\s('option_budget_group',\s'|U50'),\s(('expense\scharge\sper\spolicy\sto\sAV',\s'exp_chg_per_ … [excerpt ends]</t>
  </si>
  <si>
    <t>O070</t>
  </si>
  <si>
    <t>ProdParam</t>
  </si>
  <si>
    <t>&lt;dataset name="ProdParam" alias="ProdParam" description="Parameters for product&amp;#xD;&amp;#xA;Use pro_code to look up the product level assumptions group(e.g. lapse_group).&amp;#xD;&amp;#xA;Then the assumptions for feature group can be looked up in the related assumptions data source with the feature group(e.g. lapse_group)." type="Assumptions" size-type="DynamicSize" dtype="{ 'descr' : \s[ ( 'product\scode', 'prod_code', \s'|U50'), \s( ( 'mortality\sgroup', 'mort_group'), \s' | U50'), \s( ( 'annuitization\smortality\sgroup', 'annuit_mort_group'), \s' | U50'), \s( ( 'critical\siliness\sgroup', 'ci_group'), \s' | U50'), \s( ( 'lapse\sgroup', 'lapse_group'), \s' | U50'), \s( ( 'paid\sup\sgroup', 'paid_up_group'), \s' | U50'), \s( ( 'annuitnization\sgroup', 'annuit_group'), \s' | U50'), \s( ( 'guaranteed\scash\svalue\sgroup', 'gcv_group'), \s' | U50'), \s( ( 'commission\sgroup', 'comm_group'), \s' | U50 … [excerpt ends]</t>
  </si>
  <si>
    <t>O071</t>
  </si>
  <si>
    <t>bond_number</t>
  </si>
  <si>
    <t>&lt;dataset name="bond_number" type="Assumptions" size-type="DynamicSize" dtype="{ 'descr' : \s[ ( 'fund_ind', \s' &amp;lt; i4'), \s( 'fund_name', \s' | U100'), \s( 'index_name', \s' | U100'), \s( 'ga_index_option', \s' | U100'), \s( 'ga_index_renew_term', \s' &amp;lt; i4'), \s( 'ga_index_min_par', \s' &amp;lt; f8'), \s( 'ga_index_min_cap', \s' &amp;lt; f8'), \s( 'ga_index_max_spread', \s' &amp;lt; f8'), \s( 'ga_index_perform_trigger_condition', \s' &amp;lt; f8'), \s( 'ga_index_solved_for_parameter', \s' | U10') ], \s' fortran_order': \Sfalse, \S shape': \S(110,), \S}" /&gt;</t>
  </si>
  <si>
    <t>O072</t>
  </si>
  <si>
    <t>&lt;dataset name="bond_number" type="Assumptions" size-type="StaticSize" dtype="{ 'descr' : \S[ ( 'target_duration', \S' &amp;lt; i4'), \S( 'rating', \S' | U5'), \S( 'weight', \S' &amp;lt; f8'), \S( 'mva_weight', \S' &amp;lt; f8'), \S( 'weight_by_year', \S' &amp;lt; f8', \\( 100, 110, 111) ]], {\S' fortran_order': \$False, \$shape': \$() , \$} " /&gt;</t>
  </si>
  <si>
    <t>O073</t>
  </si>
  <si>
    <t>rand_temp</t>
  </si>
  <si>
    <t>&lt;dataset name="rand_temp" type="Assumptions" size-type="DynamicSize" dtype="{'descr':\s[('pol_month',\s'&amp;lt;i4'),\s('',\s'|V4'),\s('rand_val',\s'&amp;lt;f8')],\s'fortran_order':\sFalse,\s'shape':\s(1200,),\s}" /&gt;</t>
  </si>
  <si>
    <t>O077</t>
  </si>
  <si>
    <t>decrement_assumptions</t>
  </si>
  <si>
    <t>MortConfig</t>
  </si>
  <si>
    <t>&lt;dataset name="MortConfig" alias="MortConfig" type="Assumptions" size-type="DynamicSize" dtype="{'descr':\s[(('mortality\sgroup',\s'mort_group'),\s'|U50'),\s(('prescribed,\sbest_estimate,\swdcm',\s'basis'),\s'|U50'),\s(('mortality\stable\sname\sfor\sdeath\sbenefits',\s'mort_table'),\s'|U50'),\s(('mortality\sexperience\sin\s%',\s'mort_expri_pct'),\s'&amp;lt;f8'),\s(('mortality\sratio\stable\sname',\s'mort_ratio_table'),\s'|U50'),\s('mort_impv_rate_2d',\s'|b1'),\s('',\s'|V3'),\s('mort_impv_table',\s'|U50'),\s(('mortality\sgender\sratio\stable\sname',\s'mort_ratio_gender'),\s'|U50'),\s(('mortality\sface\samount\sband\sratio\stable\sname',\s'mort_ratio_band'),\s'|U50'),\s(('mortality\sunderwriting\sratio\stable\sname',\s'mort_ratio_uw'),\s'|U50'),\s(('mortality\sproduct\sratio\stable\sname',\s'mort_ratio_prod'),\s'|U50'),\s('',\s'|V4')],\s'fortran_order':\sFalse,\s'shape':\s(3,)}" /&gt;</t>
  </si>
  <si>
    <t>O080</t>
  </si>
  <si>
    <t>CIConfig</t>
  </si>
  <si>
    <t>&lt;dataset name="CIConfig" alias="CIConfig" type="Assumptions" size-type="DynamicSize" dtype="{'descr':\s[(('critical\sillness\sgroup',\s'ci_group'),\s'|U50'),\s(('critical\sillness\stable\sname',\s'ci_table'),\s'|U50'),\s(('critical\sillness\sexperience\sin\s%',\s'ci_expri_pct'),\s'&amp;lt;f8')],\s'fortran_order':\sFalse,\s'shape':\s(1,)}" /&gt;</t>
  </si>
  <si>
    <t>O083</t>
  </si>
  <si>
    <t>LapseTable</t>
  </si>
  <si>
    <t>&lt;dataset name="LapseTable" alias="LapseTable" type="Assumptions" size-type="DynamicSize" dtype="{'descr':\s[(('lapse\sgroup',\s'lapse_table'),\s'|U50'),\s(('0\s=\sage\s0-69,\s1\s=\sage\sis\s70\sand\sabove',\s'age_group'),\s'&amp;lt;i4'),\s(('0\s=\sNo\s5\syr\scap,\s1\s=\s5\syr\scap',\s'five_yr_cap_ind'),\s'&amp;lt;i4'),\s('itm_ind',\s'&amp;lt;i4'),\s('',\s'|V4'),\s(('lapse\srates\sin\s%\sby\spolicy\syear',\s'lapse_pct'),\s'&amp;lt;f8',\s(20,)),\s(('ultimate\spolicy\syear\sfor\slapse\srate',\s'lapse_pct_ult_yr'),\s'&amp;lt;i4'),\s(('lapse\sspike\speriod\safter\send\sof\ssurr\scharge\speriod',\s'lapse_spike_period_length'),\s'&amp;lt;i4')],\s'fortran_order':\sFalse,\s'shape':\s(52,)}" /&gt;</t>
  </si>
  <si>
    <t>O086</t>
  </si>
  <si>
    <t>CITable</t>
  </si>
  <si>
    <t>&lt;dataset name="CITable" alias="CITable" type="Assumptions" size-type="DynamicSize" dtype="{'descr':\s[(('critical\sillness\stable\sname',\s'ci_table'),\s'|U50'),\s(('sex\sstatus',\s'sex'),\s'&amp;lt;i4'),\s(('smoker\sstatus',\s'smoker'),\s'&amp;lt;i4'),\s(('critical\sillness\srates\sby\sattained\sage',\s'ci_rate'),\s'&amp;lt;f8',\s(101,)),\s(('unit\sof\scritical\sillness\srates',\s'ci_rate_unit'),\s'&amp;lt;f8'),\s(('ultimate\sage\sfor\sthe\scritical\sillness\srate',\s'ci_rate_ult_age'),\s'&amp;lt;i4'),\s('',\s'|V4')],\s'fortran_order':\sFalse,\s'shape':\s(1,)}" /&gt;</t>
  </si>
  <si>
    <t>O089</t>
  </si>
  <si>
    <t>MortTable</t>
  </si>
  <si>
    <t>&lt;dataset name="MortTable" alias="MortTable" type="Assumptions" size-type="DynamicSize" dtype="{'descr':\s[(('mortality\stable\sname',\s'mort_table'),\s'|U50'),\s(('sex\sstatus',\s'sex'),\s'&amp;lt;i4'),\s(('smoker\sstatus',\s'smoker'),\s'&amp;lt;i4'),\s(('mortality\srates\sby\sattained\sage',\s'mort_rate'),\s'&amp;lt;f8',\s(121,)),\s(('unit\sof\smortality\srates',\s'mort_rate_unit'),\s'&amp;lt;i4'),\s(('ultimate\sage\sfor\smortality\srate',\s'mort_rate_ult_age'),\s'&amp;lt;i4')],\s'fortran_order':\sFalse,\s'shape':\s(13,)}" /&gt;</t>
  </si>
  <si>
    <t>O092</t>
  </si>
  <si>
    <t>GCVTable</t>
  </si>
  <si>
    <t>&lt;dataset name="GCVTable" alias="GCVTable" type="Assumptions" size-type="DynamicSize" dtype="{'descr':\s[(('guaranteed\scash\svalue\sgroup','gcv_group'),\s'|U50'),\s(('policy\sissue\sage\s(-1\smeans\sapply\sto\sall\sages)','entry_age'),\s'&amp;lt;i4'),\s('',\s'|V4'),\s(('guaranteed\scash\svalue\srates\sby\spolicy\syear','gcv_rate'),\s'&amp;lt;f8',\s(102,)),\s(('unit\sof\sthe\sgcv\srate','gcv_rate_unit'),\s'&amp;lt;i4'),\s(('ultimate\spolicy\syear\sto\sapply\sthe\sgcv\srate','gcv_rate_ult_yr'),\s'&amp;lt;i4')],\s'fortran_order':\sFalse,\s'shape':\s(1,),\s}" /&gt;</t>
  </si>
  <si>
    <t>O093</t>
  </si>
  <si>
    <t>MortImpvTable</t>
  </si>
  <si>
    <t>&lt;dataset name="MortImpvTable" alias="MortImpvTable" type="Assumptions" size-type="DynamicSize" dtype="{'descr':\s[(('mortality\simprovement\stable\sname',\s'mort_impv_table'),\s'|U50'),\s(('sex\sstatus',\s'sex'),\s'&amp;lt;i4'),\s(('calendar\syear',\s'calendar_year'),\s'&amp;lt;i4'),\s(('mortality\simprovement\srate\sby\spolicy\syear',\s'mort_impv_rate'),\s'&amp;lt;f8',\s(121,)),\s(('rate\sunit\sfor\smortality\simprovement',\s'mort_impv_rate_unit'),\s'&amp;lt;i4'),\s(('ultimate\sage\sto\sapply\smortality\simprovement',\s'mort_impv_rate_ult_age'),\s'&amp;lt;i4'),\s('mort_impv_incp_yr',\s[('year',\s'&amp;lt;i4'),\s('month',\s'&amp;lt;i4'),\s('day',\s'&amp;lt;i4')]),\s(('mortality\simprovement\smaximum\syear',\s'mort_impv_max_yr'),\s'&amp;lt;i4'),\s('',\s'|V4')],\s'fortran_order':\sFalse,\s'shape':\s(10,)}" /&gt;</t>
  </si>
  <si>
    <t>O094</t>
  </si>
  <si>
    <t>AnnuitTable</t>
  </si>
  <si>
    <t>&lt;dataset name="AnnuitTable" alias="AnnuitTable" type="Assumptions" size-type="DynamicSize" dtype="{'descr':\s[('annuit_table',\s'|U50'),\s(('moneyness\sgroup',\s'itm_ind'),\s'&amp;lt;i4'),\s('',\s'|V4'),\s(('annuitization\srates\sby\spolicy\syear\safter\sthe\sannuitization\sis\sexercised',\s'annuit_pct'),\s'&amp;lt;f8',\s(4,)),\s(('ultimate\spolicy\syear\sfor\sannuitizaiton\srate',\s'annuit_pct_ult_yr'),\s'&amp;lt;i4'),\s('',\s'|V4')],\s'fortran_order':\sFalse,\s'shape':\s(11,)}" /&gt;</t>
  </si>
  <si>
    <t>O095</t>
  </si>
  <si>
    <t>MortRatioTable</t>
  </si>
  <si>
    <t>&lt;dataset name="MortRatioTable" alias="MortRatioTable" type="Assumptions" size-type="DynamicSize" dtype="{'descr':\s[(('mortality\sratio\stable\sname',\s'mort_ratio_table'),\s'|U50'),\s(('gender',\s'sex'),\s'&amp;lt;i4'),\s('',\s'|V4'),\s(('mortality\sratio\sin\s%\sby\spolicy\syear',\s'mort_ratio_pct'),\s'&amp;lt;f8',\s(121,)),\s(('ultimate\sage\sfor\smortality\sratio',\s'mort_ratio_pct_ult_age'),\s'&amp;lt;i4'),\s('',\s'|V4')],\s'fortran_order':\sFalse,\s'shape':\s(3,)}" /&gt;</t>
  </si>
  <si>
    <t>O096</t>
  </si>
  <si>
    <t>ITMMulTable</t>
  </si>
  <si>
    <t>&lt;dataset name="ITMMulTable" alias="ITMMulTable" type="Assumptions" size-type="DynamicSize" dtype="{'descr':\s[('itm_mul_group',\s'|U50'),\s('basis',\s'|U50'),\s('gmdb_mul_pct',\s'&amp;lt;f8'),\s('glb_mul_pct',\s'&amp;lt;f8')],\s'fortran_order':\sFalse,\s'shape':\s(5,)}" /&gt;</t>
  </si>
  <si>
    <t>O097</t>
  </si>
  <si>
    <t>LapseConfig</t>
  </si>
  <si>
    <t>&lt;dataset name="LapseConfig" alias="LapseConfig" type="Assumptions" size-type="DynamicSize" dtype="{'descr':\s[(('lapse\sgroup',\s'lapse_group'),\s'|U50'),\s(('prescribed,\sbest_estimate,\swdcm',\s'basis'),\s'|U50'),\s(('lapse\stable',\s'lapse_table'),\s'|U50'),\s(('lapse\sratio\stable',\s'lapse_ratio_table'),\s'|U50'),\s(('lapse\sskewness\stable',\s'lapse_skewness_table'),\s'|U50')],\s'fortran_order':\sFalse,\s'shape':\s(17,)}" /&gt;</t>
  </si>
  <si>
    <t>O098</t>
  </si>
  <si>
    <t>AnnuitConfig</t>
  </si>
  <si>
    <t>&lt;dataset name="AnnuitConfig" alias="AnnuitConfig" type="Assumptions" size-type="DynamicSize" dtype="{'descr':\s[('annuit_group',\s'|U50'),\s('basis',\s'|U50'),\s('annuit_table',\s'|U50')],\s'fortran_order':\sFalse,\s'shape':\s(1,)}" /&gt;</t>
  </si>
  <si>
    <t>O099</t>
  </si>
  <si>
    <t>ITMIndTable</t>
  </si>
  <si>
    <t>&lt;dataset name="ITMIndTable" alias="ITMIndTable" type="Assumptions" size-type="DynamicSize" dtype="{'descr':\s[('itm_from',\s'&amp;lt;f8'),\s('itm_to',\s'&amp;lt;f8'),\s('itm_ind',\s'&amp;lt;i4'),\s('',\s'|V4')],\s'fortran_order':\sFalse,\s'shape':\s(8,),\s}" /&gt;</t>
  </si>
  <si>
    <t>O100</t>
  </si>
  <si>
    <t>SurrChgTable</t>
  </si>
  <si>
    <t>&lt;dataset name="SurrChgTable" alias="SurrChgTable" type="Assumptions" size-type="DynamicSize" dtype="{'descr':\s[(('surrender\scharge\sgroup',\s'surr_chg_group'),\s'|U50'),\s(('surrender\scharges\syears',\s'surr_chg_years'),\s'&amp;lt;i4'),\s('',\s'|V4'),\s(('surrender\scharge\sby\spolicy\syear\sin\s%',\s'surr_chg_pct'),\s'&amp;lt;f8',\s(20,)),\s(('ultimate\spolicy\syear\sfor\ssurrender\scharge',\s'surr_chg_pct_ult_yr'),\s'&amp;lt;i4'),\s('',\s'|V4'),\s(('free\spartial\swithdrawal',\s'fpw_pct'),\s'&amp;lt;f8',\s(20,))],\s'fortran_order':\sFalse,\s'shape':\s(38,)}" /&gt;</t>
  </si>
  <si>
    <t>O101</t>
  </si>
  <si>
    <t>MortImpv2DTable</t>
  </si>
  <si>
    <t>&lt;dataset name="MortImpv2DTable" alias="MortImpv2DTable" type="Assumptions" size-type="DynamicSize" dtype="{'descr':\s[('mort_impv_table',\s'|U50'),\s('sex',\s'&amp;lt;i4'),\s('mort_impv_rate_dim',\s'|U50'),\s('',\s'|V4'),\s('mort_impv_rate',\s'&amp;lt;f8',\s(121,\s127)),\s('mort_impv_rate_unit',\s'&amp;lt;f8'),\s('mort_impv_rate_ult_age',\s'&amp;lt;i4'),\s('mort_impv_rate_st_cal_yr',\s'&amp;lt;i4'),\s('mort_impv_rate_ult_cal_yr',\s'&amp;lt;i4'),\s('',\s'|V4')],\s'fortran_order':\sFalse,\s'shape':\s(3,)}" /&gt;</t>
  </si>
  <si>
    <t>O102</t>
  </si>
  <si>
    <t>GAPVConfig</t>
  </si>
  <si>
    <t>&lt;dataset name="GAPVConfig" alias="GAPVConfig" type="Assumptions" size-type="FixedSize" dtype="{'descr':\s[(('mortality\sconfig\sfor\sGAPV',\s'mort_group'),\s'|U50')],\s'fortran_order':\sFalse,\s'shape':\s()}" /&gt;</t>
  </si>
  <si>
    <t>O103</t>
  </si>
  <si>
    <t>LapseSkewnessTable</t>
  </si>
  <si>
    <t>&lt;dataset name="LapseSkewnessTable" alias="LapseSkewnessTable" type="Assumptions" size-type="DynamicSize" dtype="{'descr':\s[(('lapse\sskewness\stable\sname',\s'table_name'),\s'|U50'),\s(('12\smonthly\srates\sin\s%\s',\s'rates_pct'),\s'&amp;lt;f8',\s(12,))],\s'fortran_order':\sFalse,\s'shape':\s(4,)}" /&gt;</t>
  </si>
  <si>
    <t>O104</t>
  </si>
  <si>
    <t>LapseGlobal</t>
  </si>
  <si>
    <t>&lt;dataset name="LapseGlobal" alias="LapseGlobal" type="Assumptions" size-type="FixedSize" dtype="{'descr':\s[(('floor\slapse\srate\sfor\sinterst\ssensitive\sbusiness','base_isl_floor'),\s'&amp;lt;f8'),\s(('capped\slapse\srate\sfor\sinterest\ssensitive\sbusiness','base_isl_cap'),\s'&amp;lt;f8'),\s(('capped\slapse\srate\sfor\sinterest\ssensitive\sbusiness\sduring\sshock\speriod','base_isl_cap_shock'),\s'&amp;lt;f8'),\s(('capped\slapse\srate\sfor\sGLWB\sbusiness','glwb_cap'),\s'&amp;lt;f8'),\s(('floor\sof\smultiplier,\sin\sSCP,\sNMR\s&amp;gt;=\sCR','before_spike_m1'),\s'&amp;lt;i4'),\s(('floor\sof\smultiplier,\sin\sSCP,\sNMR\s&amp;lt;\sCR','before_spike_m2'),\s'&amp;lt;i4'),\s(('floor\sof\smultiplier,\sshock,\sNMR\s&amp;gt;=\sCR','at_spike_m1'),\s'&amp;lt;i4'),\s(('floor\sof\smultiplier,\sshock,\sNMR\s&amp;lt;\sCR','at_spike_m2'),\s'&amp;lt;i4'),\s(('floor\sof\smultiplier,\sultimate,\sNMR\s&amp;gt;=\sCR','post_spike_m1'),\s'&amp;lt;i4'),\s(('floo … [excerpt ends]</t>
  </si>
  <si>
    <t>O105</t>
  </si>
  <si>
    <t>&lt;dataset name="marriage_divorce_rates" type="Assumptions" size-type="FixedSize" dtype="{'descr':\s[('age',\s'&amp;lt;i4',\s(31,)),\s('',\s'|V4'),\s('marriage_rate',\s'&amp;lt;f8',\s(31,)),\s('divorce_rate',\s'&amp;lt;f8',\s(31,)),\s('lapse_multiplier',\s'&amp;lt;f8')],\s'fortran_order':\sFalse,\s'shape':\s(),\s}" /&gt;</t>
  </si>
  <si>
    <t>O109</t>
  </si>
  <si>
    <t>cashflow_assumptions</t>
  </si>
  <si>
    <t>CommTable</t>
  </si>
  <si>
    <t>&lt;dataset name="CommTable" alias="CommTable" type="Assumptions" size-type="DynamicSize" dtype="{ 'descr':\s[(( 'commission\sgroup', 'comm_group'),\s' | U50'),\s(( 'commission\srates\sin\s%\sof\spremium\sby\spolicy\syear','comm_prem_pct'),\s'&amp;lt;f4',\s(11,)),\s(('ultimate\spolicy\syear\sfor\scommission\srates\sin\s%\sof\spremium','comm_prem_pct_ult_yr'),\s'&amp;lt;i4'),\s(('commission\srates\sin\s%\sof\saccount\svalue\sby\spolicy\syear','comm_av_pct'),\s'&amp;lt;f4',\s(11,)),\s(('ultimate\spolicy\syear\sfor\scommission\srates\sin\s%\sof\saccoun\svalue','comm_av_pct_ult_yr'),\s'&amp;lt;i4')],\s'fortran_order':\sFalse,\s'shape':\s(1,),\s}" /&gt;</t>
  </si>
  <si>
    <t>O110</t>
  </si>
  <si>
    <t>ExpenseConfig</t>
  </si>
  <si>
    <t>&lt;dataset name="ExpenseConfig" alias="ExpenseConfig" type="Assumptions" size-type="DynamicSize" dtype="{{descr':\s[(('expn_group',\s'|U50'),\s('basis',\s'|U50'),\s('expn_table',\s'|U50')],\s'fortran_order':\sFalse,\s'shape':\s(3,),\s}" /&gt;</t>
  </si>
  <si>
    <t>O112</t>
  </si>
  <si>
    <t>ExpenseTable</t>
  </si>
  <si>
    <t>&lt;dataset name="ExpenseTable" alias="ExpenseTable" type="Assumptions" size-type="DynamicSize" dtype="{{descr':\s[(( 'expense\sgroup', 'expn_table'),\s' | U50'),\s('acq_expn_fixed',\s' &amp;lt;f4'),\s('acq_expn_prem_pct',\s' &amp;lt;f4'),\s('renewal'sexpense\sper\spremium\sin\s%', 'maint_expn_prem_pct'),\s' &amp;lt;f4'),\s('maint_expn_av_pct',\s' &amp;lt;f4')],\s' fortran_order':\sFalse, \s'shape':\s(2), \s}" /&gt;</t>
  </si>
  <si>
    <t>O113</t>
  </si>
  <si>
    <t>InvExpense</t>
  </si>
  <si>
    <t>&lt;dataset name="InvExpense" alias="InvExpense" type="Assumptions" size-type="DynamicSize" dtype="{'descr':\s[(('interest\sgroup',\s'inv_exp_group'),\s'|U50'),\s(('investment\sexpense\sin\s%',\s'inv_exp_pct'),\s'&amp;lt;f8')],\s'fortran_order':\sFalse,\s'shape':\s(3,)}" /&gt;</t>
  </si>
  <si>
    <t>O116</t>
  </si>
  <si>
    <t>Tax</t>
  </si>
  <si>
    <t>&lt;dataset name="Tax" alias="Tax" type="Assumptions" size-type="FixedSize" dtype="{'descr':\s[(('premium\stax\sin\s%',\s'prem_tax_pct'),\s'&amp;lt;f8')],\s'fortran_order':\sFalse,\s'shape':\s()}" /&gt;</t>
  </si>
  <si>
    <t>O121</t>
  </si>
  <si>
    <t>economic_assumptions</t>
  </si>
  <si>
    <t>DiscountRate</t>
  </si>
  <si>
    <t>&lt;dataset name="DiscountRate" alias="DiscountRate" type="Assumptions" size-type="DynamicSize" dtype="{'descr':\s[(('interest\sgroup',\s'int_group'),\s'|U50'),\s('basis',\s'|U50'),\s('starting_year',\s'&amp;lt;i4'),\s('',\s'|V4'),\s(('annual\sforward\srate\sin\s%\sby\sterm\syear',\s'forward_pct'),\s'&amp;lt;f8',\s(101,\s4)),\s(('ultimate\sterm\sfor\sforward\srate',\s'ult_forward_term'),\s'&amp;lt;i4'),\s('',\s'|V4')],\s'fortran_order':\sFalse,\s'shape':\s(4,)}" /&gt;</t>
  </si>
  <si>
    <t>O122</t>
  </si>
  <si>
    <t>Inflation</t>
  </si>
  <si>
    <t>&lt;dataset name="Inflation" alias="Inflation" type="Assumptions" size-type="DynamicSize" dtype="{'descr':\s[('basis',\s'|U50'),\s(('inflation\srate(constant\sfor\sall\syears)',\s'infl_pct'),\s'&amp;lt;f8'),\s(('constant\sa\sin\smax(2%,\sa+b*2yr-treasury)',\s'infl_coeff_a'),\s'&amp;lt;f8'),\s(('constant\sb\sin\smax(2%,\sa+b*2yr-treasury)',\s'infl_coeff_b'),\s'&amp;lt;f8')],\s'fortran_order':\sFalse,\s'shape':\s(6,)}" /&gt;</t>
  </si>
  <si>
    <t>O125</t>
  </si>
  <si>
    <t>annuity_assumptions</t>
  </si>
  <si>
    <t>AcctCreditConfig</t>
  </si>
  <si>
    <t>&lt;dataset name="AcctCreditConfig" alias="AcctCreditConfig" type="Assumptions" size-type="DynamicSize" dtype="{'descr':\s[(('account\scredit\sgroup\sfor\svalue\slook\sup',\s'acct_credit_group'),\s'|U50'),\s(('assumption\sbasis',\s'basis'),\s'|U50'),\s(('account\scredit\sfrequency,\s12=monthly,\s1=yearly',\s'acct_credit_freq'),\s'&amp;lt;i4'),\s(('general\saccount\sfixed\sreturn\scredit\smethod',\s'ga_fixed_credit_method'),\s'|U50'),\s('',\s'|V4'),\s(('the\sspread\sfor\sgeneral\saccount\sfixed\sreturn',\s'ga_fixed_spd_rate'),\s'&amp;lt;f8'),\s(('separate\saccount\scredit\smethod',\s'sa_credit_method'),\s'|U50'),\s(('fixed\sline\sof\sbusiness\scredit\srate',\s'lb_interest_rate'),\s'&amp;lt;f8'),\s(('general\saccount\sindex\sreturn\scredit\smethod\sinitial,\s(1)\sinforce;\s(2)\sMTM_option',\s'ga_index_credit_method_initial'),\s'|U50'),\s(('general\saccount\sindex\sreturn\scredit\smethod\srenewal',\s'ga_i … [excerpt ends]</t>
  </si>
  <si>
    <t>O126</t>
  </si>
  <si>
    <t>AcctValueConfig</t>
  </si>
  <si>
    <t>&lt;dataset name="AcctValueConfig" alias="AcctValueConfig" type="Assumptions" size-type="DynamicSize" dtype="{'descr':\s[('acct_value_group',\s'|U50'),\s('rebalance',\s'|b1'),\s('',\s'|V3')],\s'fortran_order':\sFalse,\s'shape':\s(4,)}" /&gt;</t>
  </si>
  <si>
    <t>O129</t>
  </si>
  <si>
    <t>GLBConfig</t>
  </si>
  <si>
    <t>&lt;dataset name="GLBConfig" alias="GLBConfig" description="GLB prameter assumption table" type="Assumptions" size-type="DynamicSize" dtype="{'descr':\s[(('GLB\sgroup',\s'glb_group'),\s'|U100'),\s(('GMWB,\sGMWBL,\sGMAB,\sGMIB',\s'glb_type'),\s'|U50'),\s(('GLB\soptions:\s1-roll_up_ratchet_combination;\s2-return\sof\spremium;\s3-roll_up;\s4-ratchet',\s'glb_option'),\s'|U50'),\s(('GLB\sratchet\syear',\s'glb_ratchet_year'),\s'&amp;lt;i4'),\s('',\s'|V4'),\s(('GLB\sreturn\sof\spremium\spercentage',\s'glb_rop_pct'),\s'&amp;lt;f8'),\s(('GLB\sroll\sup\srate\s(USE\sTHE\sONE\sFROM\sINFORCE)',\s'glb_rollup_rate'),\s'&amp;lt;f8'),\s(('GLB\sroll\sup\smax\speriod',\s'glb_rollup_max_period'),\s'&amp;lt;i4'),\s('',\s'|V4'),\s(('GLB\srisk\scharge\s(USE\sTHE\sONE\sFROM\sINFORCE)',\s'glb_risk_charge'),\s'&amp;lt;f8'),\s(('Waiting\speriod\sfor\sGMAB',\s'glb_waiting_period'),\s'&amp;lt;i4'),\s(('read_asmpt_scalar;\sread_current;\sna',\ … [excerpt ends]</t>
  </si>
  <si>
    <t>O132</t>
  </si>
  <si>
    <t>GMDBConfig</t>
  </si>
  <si>
    <t>&lt;dataset name="GMDBConfig" alias="GMDBConfig" description="GMDB parameters assumptions" type="Assumptions" size-type="DynamicSize" dtype="{'descr':\s[(('GMDB\sgroup',\s'gmdb_group'),\s'|U50'),\s(('GMDB\soptions:\s1-roll_up_ratchet_combination;\s2-return\sof\spremium;\s3-roll_up;\s4-ratchet',\s'gmdb_option'),\s'|U50'),\s(('GMDB\sratchet\syear',\s'gmdb_ratchet_year'),\s'&amp;lt;i4'),\s('',\s'|V4'),\s(('GMDB\sreturn\sof\spremium\spercentage',\s'gmdb_rop_pct'),\s'&amp;lt;f8'),\s(('GMDB\sroll\sup\srate',\s'gmdb_rollup_rate'),\s'&amp;lt;f8'),\s(('GMDB\smax\sage',\s'gmdb_rollup_max_age'),\s'&amp;lt;i4'),\s('',\s'|V4'),\s(('GMDB\srisk\scharge\sto\sAV',\s'gmdb_risk_charge'),\s'&amp;lt;f8')],\s'fortran_order':\sFalse,\s'shape':\s(7,)}" /&gt;</t>
  </si>
  <si>
    <t>O133</t>
  </si>
  <si>
    <t>MVAConfig</t>
  </si>
  <si>
    <t>&lt;dataset name="MVAConfig" alias="MVAConfig" type="Assumptions" size-type="DynamicSize" dtype="{'descr':\s[(('MVA\sgroup',\s'mva_group'),\s'|U50'),\s(('MVA\sadjustment\sindicator',\s'mva_ind'),\s'|b1'),\s('',\s'|V3'),\s(('MVA\sterm',\s'mva_term'),\s'&amp;lt;i4'),\s(('MVA\sconstant\sadded\sto\sGA\sreturn',\s'mva_constant'),\s'&amp;lt;f8'),\s('i_mva_limit',\s'&amp;lt;i4'),\s(('0\s=\s5-year\sbarclay_rate,\s1\s=\smva_bond_yield_rate\s_hypothetical',\s'bond_type'),\s'&amp;lt;i4')],\s'fortran_order':\sFalse,\s'shape':\s(7,)}" /&gt;</t>
  </si>
  <si>
    <t>O136</t>
  </si>
  <si>
    <t>PartWDConfig</t>
  </si>
  <si>
    <t>&lt;dataset name="PartWDConfig" alias="PartWDConfig" type="Assumptions" size-type="DynamicSize" dtype="{'descr':\s[('part_wd_group',\s'|U50'),\s('swp_ind',\s'&amp;lt;i4'),\s(('prescribed,\sbest_estimate,\swdcm',\s'basis'),\s'|U50'),\s(('read_asmpt_scalar;\sread_current;\sna',\s'part_wd_rate_lookup_method'),\s'|U50'),\s('part_wd_table',\s'|U50'),\s('part_wd_mul_table',\s'|U50'),\s(('partial\swithdrawal\sbasis,\seither\spro_rata\sor\sdollar_amount',\s'wd_basis'),\s'|U50')],\s'fortran_order':\sFalse,\s'shape':\s(3,)}" /&gt;</t>
  </si>
  <si>
    <t>O139</t>
  </si>
  <si>
    <t>PartWDMulTable</t>
  </si>
  <si>
    <t>&lt;dataset name="PartWDMulTable" alias="PartWDMulTable" type="Assumptions" size-type="DynamicSize" dtype="{'descr':\s[('part_wd_mul_table',\s'|U50'),\s('glb_type',\s'|U50'),\s('part_wd_mul_pct',\s'&amp;lt;f8')],\s'fortran_order':\sFalse,\s'shape':\s(3,)}" /&gt;</t>
  </si>
  <si>
    <t>O141</t>
  </si>
  <si>
    <t>PartWDTable</t>
  </si>
  <si>
    <t>&lt;dataset name="PartWDTable" alias="PartWDTable" type="Assumptions" size-type="DynamicSize" dtype="{'descr':\s[('part_wd_table',\s'|U50'),\s('glb_option',\s'|U50'),\s('part_wd_pct',\s'&amp;lt;f8')],\s'fortran_order':\sFalse,\s'shape':\s(13,)}" /&gt;</t>
  </si>
  <si>
    <t>O143</t>
  </si>
  <si>
    <t>GMWBWDMulTable</t>
  </si>
  <si>
    <t>&lt;dataset name="GMWBWDMulTable" alias="GMWBWDMulTable" type="Assumptions" size-type="DynamicSize" dtype="{'descr':\s[(('GMWB\sWithdrawal\sMultiplier\sTable',\s'gmwb_wd_mul_table'),\s'|U50'),\s(('prescribed,\sbest_estimate,\swdcm',\s'basis'),\s'|U50'),\s(('GMWB\sWithdrawal\sMultiplier',\s'gmwb_wd_mul_pct'),\s'&amp;lt;f8')],\s'fortran_order':\sFalse,\s'shape':\s(11,)}" /&gt;</t>
  </si>
  <si>
    <t>O145</t>
  </si>
  <si>
    <t>PartWD_Fpartwd</t>
  </si>
  <si>
    <t>&lt;dataset name="PartWD_Fpartwd" type="Assumptions" size-type="FixedSize" dtype="{'descr':\s[(('First\spartial\swithdrawal\sprobability\sfor\smin_age_single',\s'probability_single'),\s'&amp;lt;f8',\s(36,\s27))],\s'fortran_order':\sFalse,\s'shape':\s(19,)}" /&gt;</t>
  </si>
  <si>
    <t>O147</t>
  </si>
  <si>
    <t>PartWD_WDAmt</t>
  </si>
  <si>
    <t>&lt;dataset name="PartWD_WDAmt" type="Assumptions" size-type="FixedSize" dtype="{{descr':\s[('mawa_mult',\s'lt;f8',\s(3,))},\s('prob_init',\s'lt;f8',\s(3,))],\s'fortran_order':\sFalse,\s'shape':\s(2,),\s}" /&gt;</t>
  </si>
  <si>
    <t>O148</t>
  </si>
  <si>
    <t>Opt_Bud_Conf</t>
  </si>
  <si>
    <t>&lt;dataset name="Opt_Bud_Conf" type="Assumptions" size-type="DynamicSize" dtype="{{descr':\s[('option_budget_group',\s'|U50'),\s(('Rate\sHold\sDuration','rate_hold_duration'),\s'lt;i4'),\s(('End\sof\sRate\sMigration\sPeriod','end_of_rate_migration'),\s'lt;i4'),\s('liquidity_spread_pct',\s'lt;f8'),\s('alpha_during_cdsc_pct',\s'lt;f8'),\s('beta_up_pct',\s'lt;f8'),\s('beta_down_pct',\s'lt;f8')],\s'fortran_order':\sFalse,\s'shape':\s(14,),\s}" /&gt;</t>
  </si>
  <si>
    <t>O149</t>
  </si>
  <si>
    <t>Opt_Bud_Gbl</t>
  </si>
  <si>
    <t>&lt;dataset name="Opt_Bud_Gbl" type="Assumptions" size-type="FixedSize" dtype="{{descr':\s[('reinvest_rate_pct',\s'lt;f8'),\s('renewal_rate_cap_pct',\s'lt;f8'),\s('target_spread_less_than_10_pct',\s'lt;f8'),\s('target_spread_10_plus_pct',\s'lt;f8')],\s'fortran_order':\sFalse,\s'shape':\s(),\s}" /&gt;</t>
  </si>
  <si>
    <t>O150</t>
  </si>
  <si>
    <t>Opt_Bud_issmth</t>
  </si>
  <si>
    <t>&lt;dataset name="Opt_Bud_issmth" size-type="FixedSize" dtype="{{descr':\s[('legal'sentity','legal_entity'),\s'|U10'),\s(('issue\syear,\ssissue\smonth','issue_month'),\s'lt;i4',\s(146,2,))},\s(('NER\sat\svaluation\sdate\s[Base,\sGLB]', 'ner_at_val_pct'), \s'lt;f8', \s(146,2,))}, \s(('pricing\)spread\sat\sissue\s[Base,\sGLB]', 'pricing_spread_at_issue_pct'), \s'lt;f8', \s(146,2,))], \s'fortran_order': \sFalse,\ s'shape': \s{3,), \s}" /&gt;</t>
  </si>
  <si>
    <t>O151</t>
  </si>
  <si>
    <t>&lt;dataset name="glb_info" type="Assumptions" size-type="FixedSize" dtype="{'descr':\s[('GLB_ID',\s'&amp;lt;i4'),\s('RIDER_TYPE',\s'&amp;lt;i4'),\s('INCOME_CREDIT_PERIOD',\s'&amp;lt;i4')],\s'fortran_order':\sFalse,\s'shape':\s(89,),\s}" /&gt;</t>
  </si>
  <si>
    <t>O152</t>
  </si>
  <si>
    <t>&lt;dataset name="glb_income_percentage_guardian" type="Assumptions" size-type="FixedSize" dtype="{'descr':\s[('glip_id',\s'&amp;lt;i4'),\s('',\s'|V4'),\s('income_percentage',\s'&amp;lt;f8',\s(31,51,))],\s'fortran_order':\sFalse,\s'shape':\s(2,),\s}" /&gt;</t>
  </si>
  <si>
    <t>O153</t>
  </si>
  <si>
    <t>glb_mawa_rate_old</t>
  </si>
  <si>
    <t>&lt;dataset name="glb_mawa_rate_old" type="Assumptions" size-type="DynamicSize" dtype="{'descr':\s[('mawa_id',\s'&amp;lt;i4'),\s('',\s'|V4'),\s('mawa_rate',\s'&amp;lt;f8',\s(121,))],\s'fortran_order':\sFalse,\s'shape':\s(122,),\s}" /&gt;</t>
  </si>
  <si>
    <t>O154</t>
  </si>
  <si>
    <t>glb_pip_rate_old</t>
  </si>
  <si>
    <t>&lt;dataset name="glb_pip_rate_old" type="Assumptions" size-type="DynamicSize" dtype="{{descr':\s[('pip_id',\s'&amp;lt;i4'),\s('',\s'|V4'),\s('pip_rate',\s'&amp;lt;f8',\s(121,))],\s'fortran_order':\sFalse,\s'shape':\s(122,),\s}" /&gt;</t>
  </si>
  <si>
    <t>O155</t>
  </si>
  <si>
    <t>&lt;dataset name="glb_mawa_rate" type="Assumptions" size-type="FixedSize" dtype="{{descr':\s[('mawa_id',\s'&amp;lt;i4'),\s('',\s'|V4'),\s('mawa_rate',\s'&amp;lt;f8',\s(121,))],\s'fortran_order':\sFalse,\s'shape':\s(560,),\s}" /&gt;</t>
  </si>
  <si>
    <t>O156</t>
  </si>
  <si>
    <t>&lt;dataset name="glb_pip_rate" type="Assumptions" size-type="FixedSize" dtype="{{descr':\s[('pip_id',\s'&amp;lt;i4'),\s('',\s'|V4'),\s('pip_rate',\s'&amp;lt;f8',\s(121,))],\s'fortran_order':\sFalse,\s'shape':\s(560,),\s}" /&gt;</t>
  </si>
  <si>
    <t>O161</t>
  </si>
  <si>
    <t>shock_assumptions</t>
  </si>
  <si>
    <t>ShockFactorsFixedAnnuity</t>
  </si>
  <si>
    <t>&lt;dataset name="ShockFactorsFixedAnnuity" alias="ShockFactor" type="Shocks" size-type="DynamicSize" dtype="{ 'descr':\s[(( 'shock\sdescription', 'description'),\s' | U100'),\s('basis',\s[('add',\s' &amp;lt;f8'),\s('mul',\s' &amp;lt;f8')]),\s('mort_cat',\s[('add',\s' &amp;lt;f8'),\s('mul',\s' &amp;lt;f8')]),\s(( 'catastrophe\sshock\sapplied\syears\s', 'mort_cat_year'),\s' &amp;lt;i4'),\s('mort_impv',\s[('add',\s' &amp;lt;f8'),\s('mul',\s' &amp;lt;f8')]),\s('morb',\s[('add',\s' &amp;lt;f8'),\s('mul',\s' &amp;lt;f8')]),\s('lapse',\s[('add',\s' &amp;lt;f8'),\s('mul',\s' &amp;lt;f8')]),\s('lapse_mass',\s[('add',\s' &amp;lt;f8'),\s('mul',\s' &amp;lt;f8')]),\s(( 'mass\slapse\sshock[sapplied\syears\sstarting\sfrom\svaluation\sday', 'lapse_mass_year'),\s' &amp;lt;i4'),\s(' ',\s' | V4'),\s('annuit',\s[('add',\s' &amp;lt;f8'),\s('mul',\s' &amp;lt;f8')]),\s('expense',\s[('add',\s' &amp;lt;f8'),\s('mul',\s' &amp;lt;f8')]),\s('inflation',\s[('add',\s' &amp;lt;f8'),\s('mul',\s' … [excerpt ends]</t>
  </si>
  <si>
    <t>O164</t>
  </si>
  <si>
    <t>ShockFactor AnnuityAg33</t>
  </si>
  <si>
    <t>&lt;dataset name="ShockFactor AnnuityAg33" alias="ShockFactor" type="Shocks" size-type="DynamicSize" dtype="{ 'descr':\s[(( 'shock\sdescription', 'description'),\s' | U100'),\s('basis',\s[('add',\s' &amp;lt;f8'),\s('mul',\s' &amp;lt;f8')]),\s('mort_cat',\s[('add',\s' &amp;lt;f8'),\s('mul',\s' &amp;lt;f8')]),\s(( 'catastrophe\sshock\sapplied\syears\s', 'mort_cat_year'),\s' &amp;lt;i4'),\s(' ',\s' | V4'),\s('mort_impv',\s[('add',\s' &amp;lt;f8'),\s('mul',\s' &amp;lt;f8')]),\s(( 'mass\slapse\sshock\sapplied\syears\sstarting\sfrom\svaluation\sday', 'lapse_mass_year'),\s' &amp;lt;i4'),\s(' ',\s' | V4'),\s('annuit',\s[('add',\s' &amp;lt;f8'),\s('mul',\s' &amp;lt;f8')]),\s('expense',\s[('add',\s' &amp;lt;f8'),\s('mul',\s' &amp;lt;f8')]),\s('inflation',\s[('add',\s' &amp;lt;f8'),\s('mul',\s' &amp;lt;f8')]),\s('partial_wd',\s[('add',\s' &amp;lt;f8'),\s('mul',\s' &amp;lt;f8')]),\s(( 'shock\sto\shave\sannuitization\sor\snot', 'annuitization'),\s' | b1'),\s(' ',\s' … [excerpt ends]</t>
  </si>
  <si>
    <t>O166</t>
  </si>
  <si>
    <t>ShockFactorVM22</t>
  </si>
  <si>
    <t>&lt;dataset name="ShockFactorVM22" alias="ShockFactor" type="Shocks" size-type="DynamicSize" dtype="{'descr':\s[(('shock\sdescription',\s'description'),\s'|U100'),\s('basis',\s[('add',\s'&amp;lt;f8'),\s('mul',\s'&amp;lt;f8')]),\s('mort',\s[('add',\s'&amp;lt;f8'),\s('mul',\s'&amp;lt;f8')]),\s('mort_cat',\s[('add',\s'&amp;lt;f8'),\s('mul',\s'&amp;lt;f8')]),\s(('catastrophe\sshock\sapplied\syears\s',\s'mort_cat_year'),\s'&amp;lt;i4'),\s('',\s'|V4'),\s('mort_impv',\s[('add',\s'&amp;lt;f8'),\s('mul',\s'&amp;lt;f8')]),\s('morb',\s[('add',\s'&amp;lt;f8'),\s('mul',\s'&amp;lt;f8')]),\s('lapse',\s[('add',\s'&amp;lt;f8'),\s('mul',\s'&amp;lt;f8')]),\s('lapse_mass',\s[('add',\s'&amp;lt;f8'),\s('mul',\s'&amp;lt;f8')]),\s(('mass\slapse\sshock\sapplied\syears\sstarting\sfrom\svaluation\sday',\s'lapse_mass_year'),\s'&amp;lt;i4'),\s('',\s'|V4'),\s('annuit',\s[('add',\s'&amp;lt;f8'),\s('mul',\s'&amp;lt;f8')]),\s('expense',\s[('add',\s'&amp;lt;f8'),\s('mul',\s'&amp;lt;f8')]),\s('inflation … [excerpt ends]</t>
  </si>
  <si>
    <t>O173</t>
  </si>
  <si>
    <t>reserve_gaap_assumptions</t>
  </si>
  <si>
    <t>SNFL</t>
  </si>
  <si>
    <t>&lt;dataset name="SNFL" type="Assumptions" size-type="FixedSize" dtype="{'descr':\s[(('rate\safter\sthe\spremium\scharge',\s'snfl_net_consideration_rate'),\s'&amp;lt;f8'),\s(('annual\scontract\scharge',\s'snfl_annual_contract_charge'),\s'&amp;lt;f8'),\s(('premium\staxes\son\spremiums\spaid',\s'snfl_premium_taxes'),\s'&amp;lt;f8'),\s(('floor\sfor\sSNFL\sinterest\srate',\s'snfl_interest_rate_floor'),\s'&amp;lt;f8'),\s(('grab\sthe\sappropriate\sduration\sof\sthe\sinterest\srate\sfrom\sthe\sscenario\sfile',\s'snfl_cmt_duration'),\s'&amp;lt;f8'),\s(('this\sis\sthe\sspread\sto\sdeduct\sfrom\sthe\sCMT\srate\sto\shelp\sdetermine\sthe\sSNFL\sinterest\srate',\s'snfl_interest_rate_spread'),\s'&amp;lt;f8')],\s'fortran_order':\sFalse,\s'shape':\s()}" /&gt;</t>
  </si>
  <si>
    <t>O180</t>
  </si>
  <si>
    <t>reserve_stat_assumptions</t>
  </si>
  <si>
    <t>AG35</t>
  </si>
  <si>
    <t>&lt;dataset name="AG35" type="Assumptions" size-type="FixedSize" dtype="{'descr':\s[(('If\sTrue,\sset\scurrent\speriod\screditing\srate\sto\s0\s(per\sIowa\sPrescribed\sPractice)',\s'iowa_method'),\s'|b1')],\s'fortran_order':\sFalse,\s'shape':\s()}" /&gt;</t>
  </si>
  <si>
    <t>O182</t>
  </si>
  <si>
    <t>NAIC</t>
  </si>
  <si>
    <t>&lt;dataset name="NAIC" type="Assumptions" size-type="FixedSize" dtype="{'descr':\s[(('long\sterm\sspread\smatrix\s(WAL,\srating)',\s'longterm_spread_pc'),\s'&amp;lt;f8',\s(30,\s20)),\s(('current\sspread\smatrix\s(WAL,\srating)',\s'current_spread_pc'),\s'&amp;lt;f8',\s(30,\s20)),\s(('baseline\sdefault\scost\smatrix\s(rating,\sWAL)',\s'baseline_default_cost_pc'),\s'&amp;lt;f8',\s(20,\s10)),\s('grading_year',\s'&amp;lt;i4'),\s('',\s'|V4'),\s('investment_expense_pc',\s'&amp;lt;f8'),\s(('default\sassumptions\sthat\smatch\sto\sAXIS',\s'axis_default'),\s'&amp;lt;f8',\s(100,\s7))],\s'fortran_order':\sFalse,\s'shape':\s()}" /&gt;</t>
  </si>
  <si>
    <t>O184</t>
  </si>
  <si>
    <t>PBRRatings</t>
  </si>
  <si>
    <t>&lt;dataset name="PBRRatings" type="Assumptions" size-type="FixedSize" dtype="{'descr':\s[(('PBR\scredit\srating',\s'pbr_rating'),\s'&amp;lt;i4',\s(20,)),\s(('SP\scredit\srating',\s'sp_rating'),\s'|U4',\s(20,)),\s(('Moodys\scredit\srating',\s'moodys_rating'),\s'|U4',\s(20,))],\s'fortran_order':\sFalse,\s'shape':\s()}" /&gt;</t>
  </si>
  <si>
    <t>O188</t>
  </si>
  <si>
    <t>hybrid_index_params</t>
  </si>
  <si>
    <t>&lt;dataset name="hybrid_index_params" type="Assumptions" size-type="FixedSize" dtype="{ 'descr':\s[('index_name',\s'[U20'),\s('algorithm_type',\s' &amp;lt;i4'),\s('',\s'[V4'),\s('equity_betas',\s' &amp;lt;f8',\s(3,)),\s('bond_betas',\s'\&amp;lt;f8',\s(3,)),\s('equity_sigma',\s' &amp;lt;f8'),\s('bond_sigma',\s' &amp;lt;f8'),\s('index_cost',\s' &amp;lt;f8'),\s('equity_fee',\s' &amp;lt;f8'),\s('bond_fee',\s' &amp;lt;f8'),\s('equity_has_dividend',\s'[b1'),\s('fixed_bond_constraint',\s'[b1'),\s'\&amp;lt;f8',\s(3,)),\s('equity_sigma',\s' &amp;lt;f8'),\s('bond_sigma',\s' &amp;lt;f8'),\s('index_cost',\s' &amp;lt;f8'),\s('equity_fee',\s' &amp;lt;f8'),\s('bond_fee',\s' &amp;lt;f8'),\s('equity_has_dividend',\s'[b1'),\s('fixed_bond_constraint',\s'[b1'),\s'\&amp;lt;f8'),\s('target_vol',\s' &amp;lt;f8'),\s('is_excess_return',\s'[b1'),\s('-, \s'[V5'),\s(('-999\smeans\sno\ssharp\ratio\srules.', 'equity_sharp_ratio'),\s' &amp;lt;f8'),\s(('-999\smeans\sno\ssharp\ratio\srule … [excerpt ends]</t>
  </si>
  <si>
    <t>O189</t>
  </si>
  <si>
    <t>BlackScholes</t>
  </si>
  <si>
    <t>&lt;dataset name="BlackScholes" type="Assumptions" size-type="FixedSize" dtype="{ 'descr':\s[('dividend\nyield','q'),\s' &amp;lt;f8')],\s'fortran_order':\sfalse,\sfalse':\(1,),\(1,s}" /&gt;</t>
  </si>
  <si>
    <t>O190</t>
  </si>
  <si>
    <t>historical_scenarios</t>
  </si>
  <si>
    <t>&lt;dataset name="historical_scenarios" type="Assumptions" size-type="FixedSize" dtype="{ 'descr':\s[('index_name',\s'[U50'),\s('index_source_name',\s'[U20'),\s('historical_index_return',\s' &amp;lt;f8',\sfalse(600,))],\sfstransorder':\\sfalse,\sfalse':\(13,),\(1,s}" /&gt;</t>
  </si>
  <si>
    <t>Evidence type</t>
  </si>
  <si>
    <t>User-confirmed requirement</t>
  </si>
  <si>
    <t>U01</t>
  </si>
  <si>
    <t>User confirmation</t>
  </si>
  <si>
    <t>One row in ESG inforce.policies represents one whole policy.</t>
  </si>
  <si>
    <t>U02</t>
  </si>
  <si>
    <t>Downstream switch statements generally select the latest assumption year. A time-mapping improvement is already planned and owned by the user.</t>
  </si>
  <si>
    <t>U03</t>
  </si>
  <si>
    <t>at_issue is an occasional ad hoc run; it must be retained.</t>
  </si>
  <si>
    <t>U04</t>
  </si>
  <si>
    <t>User scope</t>
  </si>
  <si>
    <t>Analyze datasources only; original model files remain read-only. Shocks are deferred.</t>
  </si>
  <si>
    <t>U05</t>
  </si>
  <si>
    <t>User preference</t>
  </si>
  <si>
    <t>Authoritative NPZ schemas/ID definitions/axis meanings may or may not be supplied later. Keep editable confirmation fields.</t>
  </si>
  <si>
    <t>U06</t>
  </si>
  <si>
    <t>Use the newer Omni AnnuityParam declaration (561 rows). Combination analysis is out of scope.</t>
  </si>
  <si>
    <t>Boundary: confirmed original spelling and actual values can be entered in amber cells; neither source file is repaired by this workbook.</t>
  </si>
  <si>
    <t>IA input organization | central TableIndex proposal</t>
  </si>
  <si>
    <t>Input organization, assumption selection and delivery plan</t>
  </si>
  <si>
    <t>Add one central TableIndex: choose the table version, match the policy to a row, and pass the selected index to calculation components.</t>
  </si>
  <si>
    <t>Existing IA inputs
Policy IDs + product settings
Assumption tables</t>
  </si>
  <si>
    <t>NEW TableIndex
1. Choose table version
2. Match the correct row</t>
  </si>
  <si>
    <t>Calculation components
Use selected table + index
Read rates and calculate</t>
  </si>
  <si>
    <t>→</t>
  </si>
  <si>
    <t>↑</t>
  </si>
  <si>
    <t>↓</t>
  </si>
  <si>
    <t>Run settings
Date + accounting context
Standard / at_issue</t>
  </si>
  <si>
    <t>Planned Time Mapping
Approved table per input type
Feeds TableIndex</t>
  </si>
  <si>
    <t>Selection record
Table version + matched ID
Index + selection reason</t>
  </si>
  <si>
    <t>Proposed IA design. Omni evidence and the limits of this comparison are on the TableIndex tab.</t>
  </si>
  <si>
    <t>Design choice</t>
  </si>
  <si>
    <t>Purpose</t>
  </si>
  <si>
    <t>First pilot</t>
  </si>
  <si>
    <t>MAWA + PIP through the new TableIndex</t>
  </si>
  <si>
    <t>Prove table choice, row lookup and downstream use.</t>
  </si>
  <si>
    <t>Next wave</t>
  </si>
  <si>
    <t>Rider terms, mortality, lapse and withdrawals</t>
  </si>
  <si>
    <t>Move repeated assumption selectors into one place.</t>
  </si>
  <si>
    <t>Input organization</t>
  </si>
  <si>
    <t>Group tables by purpose; keep version separate</t>
  </si>
  <si>
    <t>Make data easier to maintain without changing rate arrays.</t>
  </si>
  <si>
    <t>Preserved</t>
  </si>
  <si>
    <t>at_issue; IA-only fields; one policy per row</t>
  </si>
  <si>
    <t>Keep existing business behavior during migration.</t>
  </si>
  <si>
    <t>Review boundary</t>
  </si>
  <si>
    <t>Selector interfaces and data organization</t>
  </si>
  <si>
    <t>Calculation-library algorithms and shocks remain outside scope.</t>
  </si>
  <si>
    <t>Start with Proposal → TableIndex → Selector Map. Blue = proposed design; amber = fields you can complete or revise locally.</t>
  </si>
  <si>
    <t>Pilot input types</t>
  </si>
  <si>
    <t>TableIndex explains the design. Selector Map lists each lookup and the downstream connection to confirm. Existing tabs retain the dataset map, field details, time mapping, work plan, tests and evidence.</t>
  </si>
  <si>
    <t>Input groups and their roles around TableIndex</t>
  </si>
  <si>
    <t>TableIndex owns assumption table and row selection. These input groups supply its tables, keys and run settings.</t>
  </si>
  <si>
    <t>Policy observations and current contractual state</t>
  </si>
  <si>
    <t>inforce.policies</t>
  </si>
  <si>
    <t>policy / polVAFIA</t>
  </si>
  <si>
    <t>Keep one row per policy. Supply elected feature IDs and confirmed demographics to TableIndex.</t>
  </si>
  <si>
    <t>Keep balances and policy calculations in the existing policy path.</t>
  </si>
  <si>
    <t>TableIndex uses policy keys; it does not change policy records.</t>
  </si>
  <si>
    <t>Wave 2</t>
  </si>
  <si>
    <t>D05; D06</t>
  </si>
  <si>
    <t>Product-to-feature and strategy references</t>
  </si>
  <si>
    <t>StrategyMap; product identifiers if available</t>
  </si>
  <si>
    <t>AnnuityParam; ProdParam; strategy-related declaration at O071</t>
  </si>
  <si>
    <t>Product / strategy reference; exact keys to confirm</t>
  </si>
  <si>
    <t>Supply documented product defaults and feature/group IDs to TableIndex.</t>
  </si>
  <si>
    <t>A policy election must not be replaced by a product default without an approved rule.</t>
  </si>
  <si>
    <t>TableIndex applies the confirmed election/default order.</t>
  </si>
  <si>
    <t>D05; D07; D14</t>
  </si>
  <si>
    <t>Rider terms, crediting settings and withdrawal tables</t>
  </si>
  <si>
    <t>glb_*; gmwb_fee; mwv_info; withdrawal input types; rate_setting_parameters_2021</t>
  </si>
  <si>
    <t>glb_*; GLBConfig; PartWD_*; Opt_Bud_*</t>
  </si>
  <si>
    <t>Feature key + table version; behavioral tables retain axes</t>
  </si>
  <si>
    <t>Register rider and withdrawal tables. TableIndex selects their version and row. Start with MAWA/PIP.</t>
  </si>
  <si>
    <t>Keep IA-only fields and current rate arrays. MWV is not assumed to mean MVA.</t>
  </si>
  <si>
    <t>Outputs include the table identity, row index and match status; see Selector Map.</t>
  </si>
  <si>
    <t>Wave 1 / 2</t>
  </si>
  <si>
    <t>D02; D03; D04; D12</t>
  </si>
  <si>
    <t>Mortality, surrender behavior and related schedules</t>
  </si>
  <si>
    <t>Mortality_*; FullSurrender_*; dynamic_lapse_*; marriage_divorce_rates; Confinement_annual</t>
  </si>
  <si>
    <t>MortConfig; MortTable; MortImpvTable; MortRatioTable; LapseConfig; LapseTable</t>
  </si>
  <si>
    <t>Assumption input type + version + relevant risk/product keys</t>
  </si>
  <si>
    <t>Time Mapping chooses the approved release; TableIndex finds the relevant mortality/lapse record.</t>
  </si>
  <si>
    <t>Keep the current combined mortality structure. Age/duration calculations remain downstream.</t>
  </si>
  <si>
    <t>Pass selected table and row together. Retain separate at_issue behavior.</t>
  </si>
  <si>
    <t>Wave 2 / 3</t>
  </si>
  <si>
    <t>D08; D09; D10; D11</t>
  </si>
  <si>
    <t>Run controls and basis context</t>
  </si>
  <si>
    <t>Control fields in ModelAssumptions; DebugSwitch; AccountingSetting</t>
  </si>
  <si>
    <t>Global; Basis; System</t>
  </si>
  <si>
    <t>Run-level context; date basis and precedence to confirm</t>
  </si>
  <si>
    <t>Build one run-settings input for TableIndex and the existing Time Mapping ticket.</t>
  </si>
  <si>
    <t>Keep accounting settings, execution switches and assumption versions distinct.</t>
  </si>
  <si>
    <t>Record the selection date, run mode, approved override and mapping revision.</t>
  </si>
  <si>
    <t>D01; D07; D13</t>
  </si>
  <si>
    <t>Market observations and calibration parameters</t>
  </si>
  <si>
    <t>market_base; market_roll_foward; hybrid_index; g2pp; inverse_gamma; historical_npa</t>
  </si>
  <si>
    <t>hybrid_index_params; historical_scenarios; BlackScholes</t>
  </si>
  <si>
    <t>Observation date / index / parameter input type; keys to confirm</t>
  </si>
  <si>
    <t>Align grouping where meanings match; keep IA calibration input types as extensions.</t>
  </si>
  <si>
    <t>Market snapshots and calibration parameters are not generated scenario paths.</t>
  </si>
  <si>
    <t>Preserve observation timestamps, curve tenors and index identifiers.</t>
  </si>
  <si>
    <t>Wave 3</t>
  </si>
  <si>
    <t>pricing_configuration (extension)</t>
  </si>
  <si>
    <t>Option evaluation grids and numerical configuration</t>
  </si>
  <si>
    <t>No confirmed direct counterpart</t>
  </si>
  <si>
    <t>Grid input type; dimensions to confirm</t>
  </si>
  <si>
    <t>Proposed separate logical category until cap/strike purpose is confirmed.</t>
  </si>
  <si>
    <t>Do not treat an option grid as policy-specific cap elections.</t>
  </si>
  <si>
    <t>Confirm grid ordering, units and all solver consumers.</t>
  </si>
  <si>
    <t>shock inputs (deferred)</t>
  </si>
  <si>
    <t>Explicitly deferred scope</t>
  </si>
  <si>
    <t>market_shocks; ActuarialShocks; shocks</t>
  </si>
  <si>
    <t>Existing existing contracts</t>
  </si>
  <si>
    <t>Retain current source and references; inventory only.</t>
  </si>
  <si>
    <t>No shock refactor or algorithm review in this proposal.</t>
  </si>
  <si>
    <t>Expand scope only through a separate agreed change.</t>
  </si>
  <si>
    <t>Deferred</t>
  </si>
  <si>
    <t>Omni-only domains</t>
  </si>
  <si>
    <t>Reference grouping with no confirmed IA input counterpart</t>
  </si>
  <si>
    <t>No visible direct counterparts for these domains</t>
  </si>
  <si>
    <t>cashflow_assumptions; economic_assumptions; reserve_gaap_assumptions; reserve_stat_assumptions; custom_scenarios</t>
  </si>
  <si>
    <t>Not assessed for IA</t>
  </si>
  <si>
    <t>Do not create empty replicas or infer absent business functions from this excerpt.</t>
  </si>
  <si>
    <t>This is a datasources inventory, not a full model coverage review.</t>
  </si>
  <si>
    <t>Add a domain only when an actual IA input and purpose are established.</t>
  </si>
  <si>
    <t>Reference</t>
  </si>
  <si>
    <t>Choose the central selector design first. File regrouping supports it; common table formats can follow later.</t>
  </si>
  <si>
    <t>Rename or regroup files</t>
  </si>
  <si>
    <t>Clearer file organization</t>
  </si>
  <si>
    <t>Does not centralize assumption selection</t>
  </si>
  <si>
    <t>Supporting cleanup only</t>
  </si>
  <si>
    <t>Central TableIndex + planned Time Mapping + input groups</t>
  </si>
  <si>
    <t>One place selects tables and rows for calculation components</t>
  </si>
  <si>
    <t>Needs lookup rules, downstream connections and comparison tests</t>
  </si>
  <si>
    <t>Recommended design</t>
  </si>
  <si>
    <t>Use common table structures in both models</t>
  </si>
  <si>
    <t>May allow shared preparation and checking</t>
  </si>
  <si>
    <t>Requires confirmed IDs, units and array meanings</t>
  </si>
  <si>
    <t>Consider after the TableIndex pilot</t>
  </si>
  <si>
    <t>CAT01</t>
  </si>
  <si>
    <t>input_group; assumption_type</t>
  </si>
  <si>
    <t>Purpose of the input</t>
  </si>
  <si>
    <t>Use stable names; keep version separate</t>
  </si>
  <si>
    <t>annuity_assumptions / MAWA</t>
  </si>
  <si>
    <t>CAT02</t>
  </si>
  <si>
    <t>source_model; source_file; source_dataset</t>
  </si>
  <si>
    <t>Where the data comes from</t>
  </si>
  <si>
    <t>Keep the original source identity</t>
  </si>
  <si>
    <t>IA source: data/product_info.npz / glb_mawa_rate, E055</t>
  </si>
  <si>
    <t>CAT03</t>
  </si>
  <si>
    <t>table_version</t>
  </si>
  <si>
    <t>Approved data release</t>
  </si>
  <si>
    <t>Pin an immutable version; a filename alone is insufficient</t>
  </si>
  <si>
    <t>Owner supplies the release ID</t>
  </si>
  <si>
    <t>CAT04</t>
  </si>
  <si>
    <t>structure_version</t>
  </si>
  <si>
    <t>Field and array layout</t>
  </si>
  <si>
    <t>Change when fields, axes or code meanings change</t>
  </si>
  <si>
    <t>Withdrawal versions differ in E124/E134</t>
  </si>
  <si>
    <t>CAT05</t>
  </si>
  <si>
    <t>key_fields; match_rule</t>
  </si>
  <si>
    <t>How TableIndex finds a record</t>
  </si>
  <si>
    <t>Define exact keys, duplicates and allowed defaults</t>
  </si>
  <si>
    <t>MAWA: mawa_id, uniqueness to confirm</t>
  </si>
  <si>
    <t>CAT06</t>
  </si>
  <si>
    <t>dtype; shape; axes; units</t>
  </si>
  <si>
    <t>Actual table format</t>
  </si>
  <si>
    <t>Complete from real NPZ metadata or a controlled internal extract</t>
  </si>
  <si>
    <t>Use Field Contracts amber columns</t>
  </si>
  <si>
    <t>CAT07</t>
  </si>
  <si>
    <t>table_key; runtime_binding</t>
  </si>
  <si>
    <t>How the chosen table reaches the calculation</t>
  </si>
  <si>
    <t>Pair the selected table with its row index; confirm PathWise binding</t>
  </si>
  <si>
    <t>Do not assume a text filename is a runtime pointer</t>
  </si>
  <si>
    <t>CAT08</t>
  </si>
  <si>
    <t>selector_revision; test_set</t>
  </si>
  <si>
    <t>Selection code and its checks</t>
  </si>
  <si>
    <t>Version approved matching rules and associated tests</t>
  </si>
  <si>
    <t>TableIndex + Acceptance</t>
  </si>
  <si>
    <t>CAT09</t>
  </si>
  <si>
    <t>source_fingerprint</t>
  </si>
  <si>
    <t>Exact data identity</t>
  </si>
  <si>
    <t>Record checksum or controlled immutable release</t>
  </si>
  <si>
    <t>Supports repeatable runs after updates</t>
  </si>
  <si>
    <t>CAT10</t>
  </si>
  <si>
    <t>owner; approval_status</t>
  </si>
  <si>
    <t>Who maintains the table</t>
  </si>
  <si>
    <t>Separate design review from data approval and release approval</t>
  </si>
  <si>
    <t>Owner to confirm</t>
  </si>
  <si>
    <t>IA dataset (source name)</t>
  </si>
  <si>
    <t>Current datasource</t>
  </si>
  <si>
    <t>Proposed target domain</t>
  </si>
  <si>
    <t>Omni candidate / source lines</t>
  </si>
  <si>
    <t>TableIndex / input action</t>
  </si>
  <si>
    <t>Preservation / transformation rule</t>
  </si>
  <si>
    <t>ESG XML source lines</t>
  </si>
  <si>
    <t>Review decision</t>
  </si>
  <si>
    <t>M01</t>
  </si>
  <si>
    <t>No confirmed counterpart</t>
  </si>
  <si>
    <t>Retain IA calibration extension</t>
  </si>
  <si>
    <t>Calibration parameters are not custom scenario trajectories.</t>
  </si>
  <si>
    <t>Proposed</t>
  </si>
  <si>
    <t>M02</t>
  </si>
  <si>
    <t>O188 | hybrid_index_params</t>
  </si>
  <si>
    <t>Align input type; verify table structure</t>
  </si>
  <si>
    <t>Shared names but damaged Omni declaration; verify actual fields and index encoding.</t>
  </si>
  <si>
    <t>M03</t>
  </si>
  <si>
    <t>Retain tenor/asset axes and calibrated parameter versions.</t>
  </si>
  <si>
    <t>M04</t>
  </si>
  <si>
    <t>shock inputs</t>
  </si>
  <si>
    <t>Deferred - inventory only</t>
  </si>
  <si>
    <t>Prior user scope excludes shock analysis.</t>
  </si>
  <si>
    <t>M05</t>
  </si>
  <si>
    <t>Retain market snapshot</t>
  </si>
  <si>
    <t>Preserve market_date and curve/spot meaning.</t>
  </si>
  <si>
    <t>M06</t>
  </si>
  <si>
    <t>Retain roll-forward snapshot</t>
  </si>
  <si>
    <t>Keep raw source spelling; confirm ordering and dates before renaming.</t>
  </si>
  <si>
    <t>M07</t>
  </si>
  <si>
    <t>O036 | polVAFIA / Policy</t>
  </si>
  <si>
    <t>Supply policy keys to TableIndex</t>
  </si>
  <si>
    <t>Keep one policy per row. Confirm feature IDs, demographics and product-default rules; keep raw policy data in its existing path.</t>
  </si>
  <si>
    <t>D05; D06; D14</t>
  </si>
  <si>
    <t>M08</t>
  </si>
  <si>
    <t>pricing_configuration</t>
  </si>
  <si>
    <t>Confirm logical ownership</t>
  </si>
  <si>
    <t>Assumptions grid is inside inforce; its exact purpose is unconfirmed.</t>
  </si>
  <si>
    <t>M09</t>
  </si>
  <si>
    <t>O077; O089; O093; O095 | mortality input types</t>
  </si>
  <si>
    <t>Add TableIndex lookup after pilot</t>
  </si>
  <si>
    <t>Time Mapping selects this input type and run mode; TableIndex applies confirmed row keys. Keep current arrays and calculation variants.</t>
  </si>
  <si>
    <t>D01; D08; D13</t>
  </si>
  <si>
    <t>M10</t>
  </si>
  <si>
    <t>O083; O097 | LapseTable / LapseConfig</t>
  </si>
  <si>
    <t>D01; D09; D13</t>
  </si>
  <si>
    <t>M11</t>
  </si>
  <si>
    <t>Register TableIndex lookup</t>
  </si>
  <si>
    <t>Use Selector Map to confirm key, version rule and downstream component. Preserve IA-specific fields; do not force Omni table layouts.</t>
  </si>
  <si>
    <t>M12</t>
  </si>
  <si>
    <t>O129 | GLBConfig (related, not equivalent)</t>
  </si>
  <si>
    <t>D12; D14</t>
  </si>
  <si>
    <t>M13</t>
  </si>
  <si>
    <t>O155 | glb_mawa_rate</t>
  </si>
  <si>
    <t>Pilot: select through TableIndex</t>
  </si>
  <si>
    <t>Wave 1</t>
  </si>
  <si>
    <t>Select the table version, match the effective policy feature ID, return table + row index; retain the full rate array.</t>
  </si>
  <si>
    <t>D02; D03; D04</t>
  </si>
  <si>
    <t>M14</t>
  </si>
  <si>
    <t>O156 | glb_pip_rate</t>
  </si>
  <si>
    <t>M15</t>
  </si>
  <si>
    <t>O152 | same name</t>
  </si>
  <si>
    <t>D04; D12</t>
  </si>
  <si>
    <t>M16</t>
  </si>
  <si>
    <t>O151 | glb_info</t>
  </si>
  <si>
    <t>M17</t>
  </si>
  <si>
    <t>O148 | Opt_Bud_Conf (partial candidate)</t>
  </si>
  <si>
    <t>D04; D14</t>
  </si>
  <si>
    <t>M18</t>
  </si>
  <si>
    <t>O100 | SurrChgTable</t>
  </si>
  <si>
    <t>M19</t>
  </si>
  <si>
    <t>O150 | Opt_Bud_issmth (related, unconfirmed)</t>
  </si>
  <si>
    <t>Retain historical contract</t>
  </si>
  <si>
    <t>Keep ID and curve/spread matrices; use does not follow from file location.</t>
  </si>
  <si>
    <t>M20</t>
  </si>
  <si>
    <t>M21</t>
  </si>
  <si>
    <t>M22</t>
  </si>
  <si>
    <t>O145 | PartWD_Fpartwd</t>
  </si>
  <si>
    <t>D01; D20</t>
  </si>
  <si>
    <t>M23</t>
  </si>
  <si>
    <t>M24</t>
  </si>
  <si>
    <t>M25</t>
  </si>
  <si>
    <t>M26</t>
  </si>
  <si>
    <t>O147 | PartWD_WDAmt</t>
  </si>
  <si>
    <t>M27</t>
  </si>
  <si>
    <t>O105 | same name</t>
  </si>
  <si>
    <t>D01; D04</t>
  </si>
  <si>
    <t>M28</t>
  </si>
  <si>
    <t>M29</t>
  </si>
  <si>
    <t>No confirmed CI equivalence</t>
  </si>
  <si>
    <t>D04; D18</t>
  </si>
  <si>
    <t>M30</t>
  </si>
  <si>
    <t>D11; D20</t>
  </si>
  <si>
    <t>M31</t>
  </si>
  <si>
    <t>M32</t>
  </si>
  <si>
    <t>D09; D11</t>
  </si>
  <si>
    <t>M33</t>
  </si>
  <si>
    <t>D08; D11</t>
  </si>
  <si>
    <t>M34</t>
  </si>
  <si>
    <t>O104 | LapseGlobal (partial candidate)</t>
  </si>
  <si>
    <t>M35</t>
  </si>
  <si>
    <t>M36</t>
  </si>
  <si>
    <t>O136/O141 | partial-withdrawal input type; exact match unknown</t>
  </si>
  <si>
    <t>M37</t>
  </si>
  <si>
    <t>M38</t>
  </si>
  <si>
    <t>system + domain split</t>
  </si>
  <si>
    <t>O056; O104; O148 | related fields</t>
  </si>
  <si>
    <t>Supply settings; move version selection</t>
  </si>
  <si>
    <t>Give TableIndex one documented context. Move duplicate version decisions through Time Mapping; keep execution controls separate.</t>
  </si>
  <si>
    <t>D07; D13</t>
  </si>
  <si>
    <t>M39</t>
  </si>
  <si>
    <t>O056 | Global (partial overlap)</t>
  </si>
  <si>
    <t>D01; D07</t>
  </si>
  <si>
    <t>M40</t>
  </si>
  <si>
    <t>M41</t>
  </si>
  <si>
    <t>M42</t>
  </si>
  <si>
    <t>O149 | Opt_Bud_Gbl (related only)</t>
  </si>
  <si>
    <t>Preserve min_sc_period and existing matrix; meaning requires consumer check.</t>
  </si>
  <si>
    <t>D14; D18</t>
  </si>
  <si>
    <t>M43</t>
  </si>
  <si>
    <t>O058 | Basis (not equivalent)</t>
  </si>
  <si>
    <t>M44</t>
  </si>
  <si>
    <t>O068; O071; O125 | related strategy fields</t>
  </si>
  <si>
    <t>Supply confirmed product/strategy mapping</t>
  </si>
  <si>
    <t>Confirm product and strategy keys before connecting them to TableIndex. Do not replace policy elections by guessed defaults.</t>
  </si>
  <si>
    <t>M45</t>
  </si>
  <si>
    <t>M46</t>
  </si>
  <si>
    <t>M47</t>
  </si>
  <si>
    <t>M48</t>
  </si>
  <si>
    <t>M49</t>
  </si>
  <si>
    <t>M50</t>
  </si>
  <si>
    <t>M51</t>
  </si>
  <si>
    <t>M52</t>
  </si>
  <si>
    <t>O103 | LapseSkewnessTable</t>
  </si>
  <si>
    <t>D01; D09</t>
  </si>
  <si>
    <t>M53</t>
  </si>
  <si>
    <t>M54</t>
  </si>
  <si>
    <t>actuarial_assumptions_2026_q3 | 10 conflicting occurrences</t>
  </si>
  <si>
    <t>Hold source; do not enable lookup</t>
  </si>
  <si>
    <t>Hold</t>
  </si>
  <si>
    <t>Repeated conflicting declarations. No authoritative 2026 table structure selected.</t>
  </si>
  <si>
    <t>E137; E140; E143; E146; E149; E152; E155; E158; E161; E164</t>
  </si>
  <si>
    <t>M55</t>
  </si>
  <si>
    <t>O136; O145 | partial-withdrawal input types</t>
  </si>
  <si>
    <t>Declaration follows malformed datasource header; recover authority before executable mapping.</t>
  </si>
  <si>
    <t>D10; D20</t>
  </si>
  <si>
    <t>M56</t>
  </si>
  <si>
    <t>Input type</t>
  </si>
  <si>
    <t>IA field / ESG XML lines</t>
  </si>
  <si>
    <t>Omni field / source lines</t>
  </si>
  <si>
    <t>Visible declaration (unverified)</t>
  </si>
  <si>
    <t>Proposed handling</t>
  </si>
  <si>
    <t>Semantic questions to resolve</t>
  </si>
  <si>
    <t>IA actual dtype</t>
  </si>
  <si>
    <t>IA actual shape</t>
  </si>
  <si>
    <t>Omni actual dtype</t>
  </si>
  <si>
    <t>Omni actual shape</t>
  </si>
  <si>
    <t>Confirmed axes / units / ID rules</t>
  </si>
  <si>
    <t>Verification status</t>
  </si>
  <si>
    <t>User decision / notes</t>
  </si>
  <si>
    <t>F01</t>
  </si>
  <si>
    <t>MAWA</t>
  </si>
  <si>
    <t>glb_mawa_rate.mawa_id | E055</t>
  </si>
  <si>
    <t>glb_mawa_rate.mawa_id | O155</t>
  </si>
  <si>
    <t>IA i4-like text; Omni &lt;i4; actual dtype pending</t>
  </si>
  <si>
    <t>TableIndex matches the effective mawa_id inside the selected table version; return table key + row index.</t>
  </si>
  <si>
    <t>Uniqueness, sentinel IDs, namespace and missing-ID policy.</t>
  </si>
  <si>
    <t>Visible</t>
  </si>
  <si>
    <t>Unconfirmed</t>
  </si>
  <si>
    <t>F02</t>
  </si>
  <si>
    <t>glb_mawa_rate.mawa_rate | E055</t>
  </si>
  <si>
    <t>glb_mawa_rate.mawa_rate | O155</t>
  </si>
  <si>
    <t>Both show rate[121]; IA 311 rows / DynamicSize; Omni 560 / FixedSize</t>
  </si>
  <si>
    <t>Downstream calculation reads mawa_rate from the selected row. TableIndex does not infer the age axis or change units.</t>
  </si>
  <si>
    <t>Age origin; attained/issue age; rate unit; bounds.</t>
  </si>
  <si>
    <t>F03</t>
  </si>
  <si>
    <t>PIP</t>
  </si>
  <si>
    <t>glb_pip_rate.pip_id | E056</t>
  </si>
  <si>
    <t>glb_pip_rate.pip_id | O156</t>
  </si>
  <si>
    <t>Both show pip_id; real IA dtype pending</t>
  </si>
  <si>
    <t>TableIndex matches the effective pip_id inside the selected version; return table key + row index.</t>
  </si>
  <si>
    <t>ID equivalence and missing-key behavior.</t>
  </si>
  <si>
    <t>F04</t>
  </si>
  <si>
    <t>glb_pip_rate.pip_rate | E056</t>
  </si>
  <si>
    <t>glb_pip_rate.pip_rate | O156</t>
  </si>
  <si>
    <t>Both show rate[121]; IA 313 rows; Omni 560</t>
  </si>
  <si>
    <t>Downstream calculation reads pip_rate from the selected row. Keep the array and its units.</t>
  </si>
  <si>
    <t>Axis origin and units; PIP meaning and annualization.</t>
  </si>
  <si>
    <t>F05</t>
  </si>
  <si>
    <t>Guardian income</t>
  </si>
  <si>
    <t>glb_income_percentage_guardian.glip_id | E057</t>
  </si>
  <si>
    <t>same field | O152</t>
  </si>
  <si>
    <t>Both show glip_id; table shape (2,)</t>
  </si>
  <si>
    <t>TableIndex matches glip_id; downstream code reads the selected matrix.</t>
  </si>
  <si>
    <t>ID meaning and namespace.</t>
  </si>
  <si>
    <t>F06</t>
  </si>
  <si>
    <t>income_percentage | E057</t>
  </si>
  <si>
    <t>income_percentage | O152</t>
  </si>
  <si>
    <t>Both show (31,51); IA DynamicSize / Omni FixedSize</t>
  </si>
  <si>
    <t>Retain matrix until axis labels are verified.</t>
  </si>
  <si>
    <t>Meaning and origin of both axes; units; boundary behavior.</t>
  </si>
  <si>
    <t>F07</t>
  </si>
  <si>
    <t>GLB core</t>
  </si>
  <si>
    <t>glb_info.GLB_ID | E058</t>
  </si>
  <si>
    <t>glb_info.GLB_ID | O151</t>
  </si>
  <si>
    <t>IA 97 rows; Omni 89</t>
  </si>
  <si>
    <t>TableIndex matches GLB_ID; pass the selected row without dropping IA extension fields.</t>
  </si>
  <si>
    <t>Namespace, duplicate IDs and inactive records.</t>
  </si>
  <si>
    <t>F08</t>
  </si>
  <si>
    <t>glb_info.RIDER_TYPE | E058</t>
  </si>
  <si>
    <t>glb_info.RIDER_TYPE | O151</t>
  </si>
  <si>
    <t>Integer-like enum in both</t>
  </si>
  <si>
    <t>Document enum crosswalk before reusing a field contract.</t>
  </si>
  <si>
    <t>Same numeric code meanings? Unknown enum behavior?</t>
  </si>
  <si>
    <t>F09</t>
  </si>
  <si>
    <t>glb_info.INCOME_CREDIT_PERIOD | E058</t>
  </si>
  <si>
    <t>same field | O151</t>
  </si>
  <si>
    <t>Integer-like scalar in both</t>
  </si>
  <si>
    <t>Retain value with explicit period unit.</t>
  </si>
  <si>
    <t>Years, months, anniversary basis or sentinel?</t>
  </si>
  <si>
    <t>F10</t>
  </si>
  <si>
    <t>GLB extension</t>
  </si>
  <si>
    <t>NET_INCOME_CREDIT | E058</t>
  </si>
  <si>
    <t>No field in O151 declaration</t>
  </si>
  <si>
    <t>Boolean-like</t>
  </si>
  <si>
    <t>Retain IA extension; no default loss.</t>
  </si>
  <si>
    <t>Definition and consumer dependencies.</t>
  </si>
  <si>
    <t>F11</t>
  </si>
  <si>
    <t>DOUBLING_INCOME_BASE | E058</t>
  </si>
  <si>
    <t>Retain IA extension.</t>
  </si>
  <si>
    <t>Trigger conditions and interaction with selected rider.</t>
  </si>
  <si>
    <t>F12</t>
  </si>
  <si>
    <t>NO_INCOME_GROWTH_AFTER_WD | E058</t>
  </si>
  <si>
    <t>Definition of withdrawal start and override rules.</t>
  </si>
  <si>
    <t>F13</t>
  </si>
  <si>
    <t>IS_JOINT; IS_FLEX | E058</t>
  </si>
  <si>
    <t>Not in O151; other policy/config fields exist</t>
  </si>
  <si>
    <t>Integer-like enums</t>
  </si>
  <si>
    <t>Do not equate table flags with policy flags without a rule.</t>
  </si>
  <si>
    <t>Flag precedence and allowed values.</t>
  </si>
  <si>
    <t>F14</t>
  </si>
  <si>
    <t>Policy references</t>
  </si>
  <si>
    <t>policies.mawa_id; pip_id | E023</t>
  </si>
  <si>
    <t>Policy.mawa_id; pip_id | O036</t>
  </si>
  <si>
    <t>Both policy records contain IDs</t>
  </si>
  <si>
    <t>Send the policy feature IDs to TableIndex. TableIndex owns the common selection rule.</t>
  </si>
  <si>
    <t>Which table/version is selected for each ID?</t>
  </si>
  <si>
    <t>Inferred link</t>
  </si>
  <si>
    <t>F15</t>
  </si>
  <si>
    <t>flex_mawa_id_single; flex_mawa_id_joint | E024</t>
  </si>
  <si>
    <t>same fields | O036</t>
  </si>
  <si>
    <t>Both present in policy declaration</t>
  </si>
  <si>
    <t>TableIndex chooses the applicable single/joint/flex MAWA key using the approved existing rule.</t>
  </si>
  <si>
    <t>Current selector precedence and fallback.</t>
  </si>
  <si>
    <t>F16</t>
  </si>
  <si>
    <t>flex_pip_id_single; flex_pip_id_joint | E024</t>
  </si>
  <si>
    <t>Both present</t>
  </si>
  <si>
    <t>TableIndex chooses the applicable single/joint/flex PIP key; retain each branch.</t>
  </si>
  <si>
    <t>How election/state selects one ID.</t>
  </si>
  <si>
    <t>F17</t>
  </si>
  <si>
    <t>Policy key</t>
  </si>
  <si>
    <t>Reliable unique policy key not recovered | E023-E045</t>
  </si>
  <si>
    <t>policy_number; legal_entity | O036</t>
  </si>
  <si>
    <t>Policy row meaning: one row per policy, user confirmed</t>
  </si>
  <si>
    <t>Leave crosswalk unfilled until authoritative key is known.</t>
  </si>
  <si>
    <t>Primary/composite key; coverage and ordering.</t>
  </si>
  <si>
    <t>F18</t>
  </si>
  <si>
    <t>Product reference</t>
  </si>
  <si>
    <t>Product code not reliably recovered | E023-E045</t>
  </si>
  <si>
    <t>prod_code | O036; maps O068/O070</t>
  </si>
  <si>
    <t>No verified IA counterpart</t>
  </si>
  <si>
    <t>Use a product mapping only after its real key and election/default rule are confirmed.</t>
  </si>
  <si>
    <t>Source product identifier and product-default relationship.</t>
  </si>
  <si>
    <t>F19</t>
  </si>
  <si>
    <t>Policy demographics</t>
  </si>
  <si>
    <t>gender_1; gender_2 | E023</t>
  </si>
  <si>
    <t>sex; sex_2 | O036</t>
  </si>
  <si>
    <t>Integer-like fields; enum definitions absent</t>
  </si>
  <si>
    <t>Candidate semantic mapping only.</t>
  </si>
  <si>
    <t>Sex code crosswalk and unknown/second-life sentinel.</t>
  </si>
  <si>
    <t>F20</t>
  </si>
  <si>
    <t>Policy balances</t>
  </si>
  <si>
    <t>account_value | E023</t>
  </si>
  <si>
    <t>fund_value | O036</t>
  </si>
  <si>
    <t>Scalar declarations</t>
  </si>
  <si>
    <t>Retain each field until balance scope and date are confirmed.</t>
  </si>
  <si>
    <t>Total vs allocated balance; valuation date; currency.</t>
  </si>
  <si>
    <t>F21</t>
  </si>
  <si>
    <t>Policy strategy</t>
  </si>
  <si>
    <t>investment_account | E023; StrategyMap E110-E112</t>
  </si>
  <si>
    <t>investment_account; fund arrays | O036</t>
  </si>
  <si>
    <t>Policy scalar plus strategy table; Omni arrays of 110</t>
  </si>
  <si>
    <t>Define policy-to-strategy contract; preserve one policy per row.</t>
  </si>
  <si>
    <t>Multiple strategies, aggregation and lookup key.</t>
  </si>
  <si>
    <t>F22</t>
  </si>
  <si>
    <t>Policy elected terms</t>
  </si>
  <si>
    <t>index_cap; index_spread; participation_rate | E023</t>
  </si>
  <si>
    <t>index_cap_rate; index_spread_rate; index_par_rate | O036</t>
  </si>
  <si>
    <t>IA scalar; Omni arrays [110]</t>
  </si>
  <si>
    <t>No scalar broadcast until allocation semantics are known.</t>
  </si>
  <si>
    <t>Per-policy scope, elected vs default terms and rate units.</t>
  </si>
  <si>
    <t>F23</t>
  </si>
  <si>
    <t>Policy guarantee state</t>
  </si>
  <si>
    <t>income_base; income_credit_base | E023</t>
  </si>
  <si>
    <t>glb_base; glb_credit_base | O036</t>
  </si>
  <si>
    <t>Candidate crosswalk; preserve different base definitions.</t>
  </si>
  <si>
    <t>Same benefit base, timing and adjustments?</t>
  </si>
  <si>
    <t>F24</t>
  </si>
  <si>
    <t>Surrender charges</t>
  </si>
  <si>
    <t>surrender_charge_rate | E060</t>
  </si>
  <si>
    <t>surr_chg_pct; fpw_pct | O100</t>
  </si>
  <si>
    <t>IA [21]; Omni charge [20] plus free-withdrawal array</t>
  </si>
  <si>
    <t>TableIndex chooses the surrender-charge record; downstream code applies its policy-year schedule.</t>
  </si>
  <si>
    <t>Index 0; policy-year endpoint; free amount; units.</t>
  </si>
  <si>
    <t>F25</t>
  </si>
  <si>
    <t>Rate setting</t>
  </si>
  <si>
    <t>rate_setting_id; liquidity_spread; alpha_after_cdsc | E059</t>
  </si>
  <si>
    <t>option_budget_group; liquidity_spread_pct; O148</t>
  </si>
  <si>
    <t>Partial field resemblance; alpha_after_cdsc not visible in O148</t>
  </si>
  <si>
    <t>TableIndex chooses rate-setting parameters; rate-setting formulas stay in the calculation component.</t>
  </si>
  <si>
    <t>Units, missing counterparts and rate-setting formula inputs.</t>
  </si>
  <si>
    <t>F26</t>
  </si>
  <si>
    <t>Lapse controls</t>
  </si>
  <si>
    <t>base_isl_floor; base_isl_cap | E092</t>
  </si>
  <si>
    <t>LapseGlobal same names | O104</t>
  </si>
  <si>
    <t>IA f4-like; Omni &lt;f8</t>
  </si>
  <si>
    <t>Move logical ownership to lapse controls; preserve precision initially.</t>
  </si>
  <si>
    <t>Unit, boundary and precision requirements.</t>
  </si>
  <si>
    <t>F27</t>
  </si>
  <si>
    <t>Run controls</t>
  </si>
  <si>
    <t>disable_*; use_*_assumptions | E097-E098</t>
  </si>
  <si>
    <t>Global contains selected disable_* | O056</t>
  </si>
  <si>
    <t>Both control and version flags coexist</t>
  </si>
  <si>
    <t>Pass approved run settings to TableIndex; use the existing Time Mapping ticket for version choice.</t>
  </si>
  <si>
    <t>Valid combinations and override precedence.</t>
  </si>
  <si>
    <t>F28</t>
  </si>
  <si>
    <t>Accounting context</t>
  </si>
  <si>
    <t>AccountingSetting.accounting_type; df_type; margins; use_at_issue_assumptions | E106-E109</t>
  </si>
  <si>
    <t>Basis.basis | O058; per-table basis</t>
  </si>
  <si>
    <t>Different contracts; not equivalent</t>
  </si>
  <si>
    <t>Pass distinct accounting context and run mode to TableIndex; confirm precedence rather than assuming an Omni basis match.</t>
  </si>
  <si>
    <t>Enum/string crosswalk and context precedence.</t>
  </si>
  <si>
    <t>F29</t>
  </si>
  <si>
    <t>Mortality</t>
  </si>
  <si>
    <t>Mortality_2018.BaseRates | E065</t>
  </si>
  <si>
    <t>MortTable.mort_rate | O089</t>
  </si>
  <si>
    <t>IA [121] by RiskClass; Omni [121] with sex/smoker and unit</t>
  </si>
  <si>
    <t>TableIndex chooses the mortality table and record. Keep the combined IA mortality structure.</t>
  </si>
  <si>
    <t>RiskClass mapping; units; age origin; smoker treatment.</t>
  </si>
  <si>
    <t>F30</t>
  </si>
  <si>
    <t>Mortality improvement</t>
  </si>
  <si>
    <t>Scale_G2 | E065/E072</t>
  </si>
  <si>
    <t>MortImpvTable.mort_impv_rate | O093; 2D O101</t>
  </si>
  <si>
    <t>IA [121]; Omni separate improvement contracts</t>
  </si>
  <si>
    <t>Read improvement data from the same selected IA record; do not infer Omni improvement formulas.</t>
  </si>
  <si>
    <t>Improvement base date, scale definition, calendar vs policy-year axes.</t>
  </si>
  <si>
    <t>F31</t>
  </si>
  <si>
    <t>Mortality multipliers</t>
  </si>
  <si>
    <t>Mult_GLB; Mult_no_GLB; X5 variants | E065/E072</t>
  </si>
  <si>
    <t>MortRatioTable.mort_ratio_pct | O095</t>
  </si>
  <si>
    <t>Multiple IA product variants; Omni group-based ratios</t>
  </si>
  <si>
    <t>Keep multiplier selection/calculation boundaries explicit; no array restructuring in the pilot.</t>
  </si>
  <si>
    <t>Rate vs multiplier; product classification; unit.</t>
  </si>
  <si>
    <t>F32</t>
  </si>
  <si>
    <t>Annuity factor</t>
  </si>
  <si>
    <t>Mortality_2018.AnnFac | E065</t>
  </si>
  <si>
    <t>No confirmed direct input counterpart</t>
  </si>
  <si>
    <t>IA [47,11]</t>
  </si>
  <si>
    <t>Keep within existing table data until a separate contract is justified.</t>
  </si>
  <si>
    <t>Both axes, interest basis and timing.</t>
  </si>
  <si>
    <t>F33</t>
  </si>
  <si>
    <t>At-issue mortality</t>
  </si>
  <si>
    <t>issue_year; BaseRates; Scale_G2 | E084</t>
  </si>
  <si>
    <t>No confirmed direct equivalent</t>
  </si>
  <si>
    <t>Draft shows [121,3]; dtype malformed</t>
  </si>
  <si>
    <t>Retain dedicated ad hoc table data and issue-year semantics.</t>
  </si>
  <si>
    <t>Issue-year bands, risk-class axis and release/version distinction.</t>
  </si>
  <si>
    <t>F34</t>
  </si>
  <si>
    <t>Base lapse</t>
  </si>
  <si>
    <t>FullSurrender_2019.probability | E071</t>
  </si>
  <si>
    <t>LapseTable.lapse_pct and flags | O083</t>
  </si>
  <si>
    <t>IA [20,2]; Omni rate[20] plus separate keys</t>
  </si>
  <si>
    <t>Do not flatten axes or collapse classification.</t>
  </si>
  <si>
    <t>Second axis, duration origin, charge-period mapping and unit.</t>
  </si>
  <si>
    <t>F35</t>
  </si>
  <si>
    <t>First withdrawal</t>
  </si>
  <si>
    <t>FirstPartialWithdrawal_2020.probability single (raw spelling) | E077</t>
  </si>
  <si>
    <t>PartWD_Fpartwd.probability_single | O145</t>
  </si>
  <si>
    <t>Both show [36,27], 19 rows; IA spelling damaged</t>
  </si>
  <si>
    <t>Candidate input type match; retain source spelling in evidence.</t>
  </si>
  <si>
    <t>Both axes, group definitions, first-event semantics.</t>
  </si>
  <si>
    <t>F36</t>
  </si>
  <si>
    <t>Withdrawal amount</t>
  </si>
  <si>
    <t>mawa_mult; prob_init | E073/E134</t>
  </si>
  <si>
    <t>PartWD_WDAmt | O147</t>
  </si>
  <si>
    <t>Both visible arrays [3], 2 rows; dtype damaged</t>
  </si>
  <si>
    <t>Candidate input type table structure; verify state definitions and probabilities.</t>
  </si>
  <si>
    <t>Probability unit, state ordering and group key.</t>
  </si>
  <si>
    <t>F37</t>
  </si>
  <si>
    <t>Withdrawal transitions</t>
  </si>
  <si>
    <t>WithdrawalAmount_2023.prob_transition | E124</t>
  </si>
  <si>
    <t>Not visible in O147</t>
  </si>
  <si>
    <t>IA [3,3]; not visible in 2019/2025 declaration</t>
  </si>
  <si>
    <t>Separate table structure version; never fill omitted transitions with zero.</t>
  </si>
  <si>
    <t>Real variant vs OCR omission; transition timing.</t>
  </si>
  <si>
    <t>F38</t>
  </si>
  <si>
    <t>Hybrid index</t>
  </si>
  <si>
    <t>hybrid_index.index_name; betas; target_vol | E015</t>
  </si>
  <si>
    <t>hybrid_index_params | O188</t>
  </si>
  <si>
    <t>Shared field names; Omni declaration repeats/corrupts fields</t>
  </si>
  <si>
    <t>Confirm true table structures; retain market input type as an extension first.</t>
  </si>
  <si>
    <t>String encoding, index identity, weights and vol units.</t>
  </si>
  <si>
    <t>F39</t>
  </si>
  <si>
    <t>Market calibration</t>
  </si>
  <si>
    <t>g2pp; inverse_gamma | E014/E016</t>
  </si>
  <si>
    <t>No confirmed input counterpart</t>
  </si>
  <si>
    <t>Matrices of tenors/calibration parameters</t>
  </si>
  <si>
    <t>Preserve IA existing calibration contracts.</t>
  </si>
  <si>
    <t>Curve/index ordering, units, model parameter version.</t>
  </si>
  <si>
    <t>F40</t>
  </si>
  <si>
    <t>Marriage/divorce</t>
  </si>
  <si>
    <t>age; marriage_rate; divorce_rate; laspe_multiplier (raw) | E076</t>
  </si>
  <si>
    <t>same rates; lapse_multiplier | O105</t>
  </si>
  <si>
    <t>Both show age/rate arrays [31]; IA text damaged</t>
  </si>
  <si>
    <t>Candidate input type; confirm spelling and definition rather than auto-repair.</t>
  </si>
  <si>
    <t>Age origin, rates, lapse multiplier and source version.</t>
  </si>
  <si>
    <t>F41</t>
  </si>
  <si>
    <t>Confinement</t>
  </si>
  <si>
    <t>incidence_rate; recovery_rate; c_mortality_rate | E078</t>
  </si>
  <si>
    <t>No confirmed equivalent</t>
  </si>
  <si>
    <t>[66,60] visible; c_mortality_rate repeated in draft</t>
  </si>
  <si>
    <t>Preserve IA extension; obtain authoritative table structure.</t>
  </si>
  <si>
    <t>Axes, repeated field artifact and utilization definition.</t>
  </si>
  <si>
    <t>Time Mapping feeds the new TableIndex</t>
  </si>
  <si>
    <t>Existing user-owned ticket: choose the approved version for each input type and mode. TableIndex then selects the relevant record.</t>
  </si>
  <si>
    <t>Run mode</t>
  </si>
  <si>
    <t>Domain</t>
  </si>
  <si>
    <t>Visible source candidates</t>
  </si>
  <si>
    <t>Version rule used by TableIndex</t>
  </si>
  <si>
    <t>Data kept for calculation</t>
  </si>
  <si>
    <t>Source lines / confirmation</t>
  </si>
  <si>
    <t>Selected table / version</t>
  </si>
  <si>
    <t>Selection date basis</t>
  </si>
  <si>
    <t>Effective from</t>
  </si>
  <si>
    <t>Effective to</t>
  </si>
  <si>
    <t>Review status</t>
  </si>
  <si>
    <t>TM01</t>
  </si>
  <si>
    <t>Standard</t>
  </si>
  <si>
    <t>Mortality_2018/2019/2023/2024; 2026 switch visible</t>
  </si>
  <si>
    <t>Time Mapping → TableIndex: Preserve current approved switch choice; date basis unresolved</t>
  </si>
  <si>
    <t>existing composite mortality table data</t>
  </si>
  <si>
    <t>E065; E072; E123; E129; E098</t>
  </si>
  <si>
    <t>D01; D08; D10</t>
  </si>
  <si>
    <t>TM02</t>
  </si>
  <si>
    <t>Base surrender</t>
  </si>
  <si>
    <t>FullSurrender_2018/2019/2025/2026</t>
  </si>
  <si>
    <t>Time Mapping → TableIndex: Select independently from mortality</t>
  </si>
  <si>
    <t>existing probability schedule</t>
  </si>
  <si>
    <t>E066; E071; E132; E137-E164</t>
  </si>
  <si>
    <t>D01; D09; D10</t>
  </si>
  <si>
    <t>TM03</t>
  </si>
  <si>
    <t>First partial withdrawal</t>
  </si>
  <si>
    <t>FirstPartialWithdrawal_2018/2019/2020/2023/2026</t>
  </si>
  <si>
    <t>Time Mapping → TableIndex: Retain input type-specific release and classification</t>
  </si>
  <si>
    <t>existing first-event schedule</t>
  </si>
  <si>
    <t>E067; E070; E077; E125; E170</t>
  </si>
  <si>
    <t>TM04</t>
  </si>
  <si>
    <t>WithdrawalAmount_2019/2023/2025</t>
  </si>
  <si>
    <t>Time Mapping → TableIndex: Reject unsupported table structure; retain existing variant selection</t>
  </si>
  <si>
    <t>existing state/multiplier table data</t>
  </si>
  <si>
    <t>E073; E124; E134</t>
  </si>
  <si>
    <t>TM05</t>
  </si>
  <si>
    <t>Free partial withdrawal</t>
  </si>
  <si>
    <t>FreePartialWithdrawal; _2023; _2026</t>
  </si>
  <si>
    <t>Time Mapping → TableIndex: Preserve qualified/non-qualified and RMD distinctions</t>
  </si>
  <si>
    <t>existing withdrawal schedule</t>
  </si>
  <si>
    <t>E099; E126; E169</t>
  </si>
  <si>
    <t>TM06</t>
  </si>
  <si>
    <t>Dynamic lapse</t>
  </si>
  <si>
    <t>ModelAssumptions fields; 2025 switch visible; full versioned table data not identified</t>
  </si>
  <si>
    <t>Time Mapping → TableIndex: Document current source before adding executable mappings</t>
  </si>
  <si>
    <t>existing dynamic-lapse controls</t>
  </si>
  <si>
    <t>E091-E098</t>
  </si>
  <si>
    <t>D01; D07; D18</t>
  </si>
  <si>
    <t>TM07</t>
  </si>
  <si>
    <t>Lapse skew</t>
  </si>
  <si>
    <t>Time Mapping → TableIndex: Retain monthly ordering and definition</t>
  </si>
  <si>
    <t>existing skew schedule</t>
  </si>
  <si>
    <t>TM08</t>
  </si>
  <si>
    <t>marriage_divorce_rates in 2020_q3</t>
  </si>
  <si>
    <t>Time Mapping → TableIndex: Register input type/version; do not assume annual replacement</t>
  </si>
  <si>
    <t>existing rates</t>
  </si>
  <si>
    <t>TM09</t>
  </si>
  <si>
    <t>Confinement_annual in 2020_q3</t>
  </si>
  <si>
    <t>Time Mapping → TableIndex: Register IA extension; confirm true table structure</t>
  </si>
  <si>
    <t>existing confinement table data</t>
  </si>
  <si>
    <t>TM10</t>
  </si>
  <si>
    <t>At-issue ad hoc</t>
  </si>
  <si>
    <t>Time Mapping → TableIndex: Explicit run-mode branch; retain issue_year axis</t>
  </si>
  <si>
    <t>At-issue mortality table data</t>
  </si>
  <si>
    <t>E084; U03</t>
  </si>
  <si>
    <t>TM11</t>
  </si>
  <si>
    <t>Time Mapping → TableIndex: Preserve issue-year and product fields</t>
  </si>
  <si>
    <t>At-issue surrender table data</t>
  </si>
  <si>
    <t>E083; U03</t>
  </si>
  <si>
    <t>TM12</t>
  </si>
  <si>
    <t>Time Mapping → TableIndex: Preserve issue-year and classification matrices</t>
  </si>
  <si>
    <t>At-issue first-event table data</t>
  </si>
  <si>
    <t>E081; U03</t>
  </si>
  <si>
    <t>TM13</t>
  </si>
  <si>
    <t>Time Mapping → TableIndex: Retain transition matrix and disable controls</t>
  </si>
  <si>
    <t>At-issue amount table data</t>
  </si>
  <si>
    <t>E082; U03</t>
  </si>
  <si>
    <t>TM14</t>
  </si>
  <si>
    <t>Time Mapping → TableIndex: Keep distinct from legacy variant</t>
  </si>
  <si>
    <t>At-issue dynamic-lapse table data</t>
  </si>
  <si>
    <t>E085; U03</t>
  </si>
  <si>
    <t>TM15</t>
  </si>
  <si>
    <t>Legacy dynamic lapse</t>
  </si>
  <si>
    <t>Time Mapping → TableIndex: Variant chosen by documented legacy behavior</t>
  </si>
  <si>
    <t>Legacy at-issue table data</t>
  </si>
  <si>
    <t>E086; U03</t>
  </si>
  <si>
    <t>TM16</t>
  </si>
  <si>
    <t>Time Mapping → TableIndex: Retain separate table data/version</t>
  </si>
  <si>
    <t>At-issue withdrawal table data</t>
  </si>
  <si>
    <t>E087; U03</t>
  </si>
  <si>
    <t>TM17</t>
  </si>
  <si>
    <t>GAAP-specific actuarial tables</t>
  </si>
  <si>
    <t>To confirm</t>
  </si>
  <si>
    <t>Mortality_gaap; FullSurrender_gaap</t>
  </si>
  <si>
    <t>Time Mapping → TableIndex: Keep separate until accounting-basis precedence is documented</t>
  </si>
  <si>
    <t>existing GAAP-specific table data</t>
  </si>
  <si>
    <t>E049-E050</t>
  </si>
  <si>
    <t>D01; D13</t>
  </si>
  <si>
    <t>Proposed interface to TableIndex. These field names are design suggestions; all real selections and dates remain editable.</t>
  </si>
  <si>
    <t>CTX01</t>
  </si>
  <si>
    <t>assumption_type</t>
  </si>
  <si>
    <t>Input to Time Mapping</t>
  </si>
  <si>
    <t>Mortality, base surrender, withdrawal amount, etc.</t>
  </si>
  <si>
    <t>One approved choice per input type; do not force a common year.</t>
  </si>
  <si>
    <t>CTX02</t>
  </si>
  <si>
    <t>run_mode</t>
  </si>
  <si>
    <t>Standard / at_issue ad hoc</t>
  </si>
  <si>
    <t>Retain the separate ad hoc branch.</t>
  </si>
  <si>
    <t>CTX03</t>
  </si>
  <si>
    <t>accounting_context</t>
  </si>
  <si>
    <t>Existing hedge / GAAP / MRB context; mapping pending</t>
  </si>
  <si>
    <t>Keep distinct from the assumption basis until confirmed.</t>
  </si>
  <si>
    <t>CTX04</t>
  </si>
  <si>
    <t>selection_date_basis</t>
  </si>
  <si>
    <t>Owner chooses valuation / run / issue / other date per input type</t>
  </si>
  <si>
    <t>Do not assume at_issue means a policy issue-date lookup.</t>
  </si>
  <si>
    <t>CTX05</t>
  </si>
  <si>
    <t>effective_from; effective_to</t>
  </si>
  <si>
    <t>Mapping rule</t>
  </si>
  <si>
    <t>Proposed inclusive start / exclusive end; owner to confirm</t>
  </si>
  <si>
    <t>One applicable approved entry; test gaps, overlap and future releases.</t>
  </si>
  <si>
    <t>CTX06</t>
  </si>
  <si>
    <t>table_key; table_version</t>
  </si>
  <si>
    <t>Output to TableIndex</t>
  </si>
  <si>
    <t>Identifies the exact approved table and data release</t>
  </si>
  <si>
    <t>TableIndex returns an index belonging to this same table.</t>
  </si>
  <si>
    <t>CTX07</t>
  </si>
  <si>
    <t>Identifies fields and array layout</t>
  </si>
  <si>
    <t>Reject unsupported layouts; do not fill omitted fields with zeros.</t>
  </si>
  <si>
    <t>CTX08</t>
  </si>
  <si>
    <t>variant_id</t>
  </si>
  <si>
    <t>Output if required</t>
  </si>
  <si>
    <t>Identifies a supported calculation/data variant</t>
  </si>
  <si>
    <t>A newer year must not silently change calculation behavior.</t>
  </si>
  <si>
    <t>CTX09</t>
  </si>
  <si>
    <t>override; selection_reason</t>
  </si>
  <si>
    <t>Input and selection record</t>
  </si>
  <si>
    <t>Use only documented approved override rules</t>
  </si>
  <si>
    <t>Record which rule won and why.</t>
  </si>
  <si>
    <t>CTX10</t>
  </si>
  <si>
    <t>mapping_version; source_fingerprint</t>
  </si>
  <si>
    <t>Selection record</t>
  </si>
  <si>
    <t>Pins mapping revision and exact data</t>
  </si>
  <si>
    <t>Allow a prior run to be repeated after new data is added.</t>
  </si>
  <si>
    <t>CTX11</t>
  </si>
  <si>
    <t>no match / more than one match</t>
  </si>
  <si>
    <t>Mapping outcome</t>
  </si>
  <si>
    <t>Return explicit status; do not use an arbitrary default</t>
  </si>
  <si>
    <t>Final PathWise error mechanism to be confirmed in D24.</t>
  </si>
  <si>
    <t>CTX12</t>
  </si>
  <si>
    <t>runtime_table_binding</t>
  </si>
  <si>
    <t>Output connection</t>
  </si>
  <si>
    <t>Typed table input or approved fixed port selected by TableIndex output</t>
  </si>
  <si>
    <t>A table_key is a tracking label, not an assumed dynamic pointer; see D25.</t>
  </si>
  <si>
    <t>Work packages retain their IDs. Owners and dates remain editable. W08 is the existing time-mapping ticket integrated into the pilot.</t>
  </si>
  <si>
    <t>W01</t>
  </si>
  <si>
    <t>0 - Design</t>
  </si>
  <si>
    <t>Approve central TableIndex scope</t>
  </si>
  <si>
    <t>Agree one IA entry point for table/version choice and row matching. Use Omni visible interfaces as a pattern.</t>
  </si>
  <si>
    <t>None</t>
  </si>
  <si>
    <t>TableIndex, input groups, preserved behavior and deferred scope agreed</t>
  </si>
  <si>
    <t>No model change</t>
  </si>
  <si>
    <t>Model architect</t>
  </si>
  <si>
    <t>D17; D21-D26</t>
  </si>
  <si>
    <t>W02</t>
  </si>
  <si>
    <t>0 - Data</t>
  </si>
  <si>
    <t>Confirm pilot source authority</t>
  </si>
  <si>
    <t>Use trusted MAWA/PIP inputs. Fill NPZ metadata locally if it cannot be shared. Separate OCR issues from data issues.</t>
  </si>
  <si>
    <t>Pilot tables, fields and versions verified; damaged 2026 declarations excluded</t>
  </si>
  <si>
    <t>Keep original files</t>
  </si>
  <si>
    <t>Data owner</t>
  </si>
  <si>
    <t>D02-D04; D10</t>
  </si>
  <si>
    <t>W03</t>
  </si>
  <si>
    <t>0 - Connections</t>
  </si>
  <si>
    <t>Locate current pilot selections</t>
  </si>
  <si>
    <t>List every MAWA/PIP dependence, input parameter and current lookup. Identify data preparation and duplicate selection code.</t>
  </si>
  <si>
    <t>Selector Map has exact source expressions and destination component/parameter for each pilot path</t>
  </si>
  <si>
    <t>Keep existing connections</t>
  </si>
  <si>
    <t>Model developer</t>
  </si>
  <si>
    <t>D18; D25</t>
  </si>
  <si>
    <t>W04</t>
  </si>
  <si>
    <t>1 - Pilot</t>
  </si>
  <si>
    <t>Approve keys and array rules</t>
  </si>
  <si>
    <t>Confirm ID uniqueness, flex/single/joint precedence, row-index base, age axis and units. Define missing and duplicate handling.</t>
  </si>
  <si>
    <t>Pilot entries and D02-D04/D12/D21/D24 resolved with tests ready</t>
  </si>
  <si>
    <t>No calculation change</t>
  </si>
  <si>
    <t>Model and data owners</t>
  </si>
  <si>
    <t>D02-D04; D12; D21; D24</t>
  </si>
  <si>
    <t>W05</t>
  </si>
  <si>
    <t>Register pilot tables</t>
  </si>
  <si>
    <t>Record MAWA/PIP table versions, keys, structure, source identity and owner. Keep current file formats first.</t>
  </si>
  <si>
    <t>Each pilot version resolves to an exact table and supported structure</t>
  </si>
  <si>
    <t>Restore prior table register</t>
  </si>
  <si>
    <t>Data engineer</t>
  </si>
  <si>
    <t>D02; D04; D25</t>
  </si>
  <si>
    <t>W06</t>
  </si>
  <si>
    <t>Build the central TableIndex</t>
  </si>
  <si>
    <t>Create inputs, version helper call, row matching, index/status outputs and selection record. Use fixed typed bindings if runtime needs them.</t>
  </si>
  <si>
    <t>W05; W08</t>
  </si>
  <si>
    <t>TI01-TI02 implemented; table/index pairs consistent; invalid matches cannot reach calculations</t>
  </si>
  <si>
    <t>Keep old selector enabled until comparison completes</t>
  </si>
  <si>
    <t>D21-D25</t>
  </si>
  <si>
    <t>W07</t>
  </si>
  <si>
    <t>Connect and compare MAWA/PIP</t>
  </si>
  <si>
    <t>Connect existing dependences to TableIndex outputs. First compare both selection paths; then let approved new outputs drive the existing calculations.</t>
  </si>
  <si>
    <t>T01-T05, T12, T16-T24 executed as applicable; no unexplained differences; old duplicate selection disabled for pilot</t>
  </si>
  <si>
    <t>Restore old inputs and connections together</t>
  </si>
  <si>
    <t>Model developer + reviewer</t>
  </si>
  <si>
    <t>D18; D19; D26</t>
  </si>
  <si>
    <t>W08</t>
  </si>
  <si>
    <t>1 - Version helper</t>
  </si>
  <si>
    <t>Integrate existing Time Mapping ticket</t>
  </si>
  <si>
    <t>Connect the user-owned mapping work to TableIndex. Resolve per-input versions and retain at_issue; pin pilot versions if no dated rule applies.</t>
  </si>
  <si>
    <t>W03; W04; existing ticket design</t>
  </si>
  <si>
    <t>T06-T11 cover selection rules; TableIndex receives exact version and supported structure</t>
  </si>
  <si>
    <t>Restore previous mapping and settings</t>
  </si>
  <si>
    <t>Existing time-mapping ticket owner</t>
  </si>
  <si>
    <t>D01; D07; D11; D13</t>
  </si>
  <si>
    <t>W09</t>
  </si>
  <si>
    <t>2 - Riders</t>
  </si>
  <si>
    <t>Add remaining rider lookups</t>
  </si>
  <si>
    <t>Add GLB, Guardian, fee and related records using Selector Map. Preserve IA fields and elected/default precedence.</t>
  </si>
  <si>
    <t>Applicable selector rows and tests signed off; no lost fields or independent downstream table search</t>
  </si>
  <si>
    <t>Return each input type to its old connection</t>
  </si>
  <si>
    <t>Rider model owner</t>
  </si>
  <si>
    <t>D12; D14; D22</t>
  </si>
  <si>
    <t>W10</t>
  </si>
  <si>
    <t>2 - Controls</t>
  </si>
  <si>
    <t>Separate settings from selection</t>
  </si>
  <si>
    <t>Supply one agreed run context; remove duplicated year choice after the relevant TableIndex path passes. Keep debug controls available.</t>
  </si>
  <si>
    <t>W08; W07</t>
  </si>
  <si>
    <t>T10 passes; no conflicting table/version choices remain for migrated paths</t>
  </si>
  <si>
    <t>Restore settings and old selection as one change</t>
  </si>
  <si>
    <t>Model architect + developer</t>
  </si>
  <si>
    <t>D07; D13; D24</t>
  </si>
  <si>
    <t>W11</t>
  </si>
  <si>
    <t>2 - Behavior</t>
  </si>
  <si>
    <t>Add mortality, lapse and withdrawal lookups</t>
  </si>
  <si>
    <t>Use Time Mapping and confirmed row keys. Keep combined mortality arrays and supported annual/at_issue layouts.</t>
  </si>
  <si>
    <t>W07; W10</t>
  </si>
  <si>
    <t>Applicable TI rows complete; T06-T14 and T19-T24 pass; unverified rows remain held</t>
  </si>
  <si>
    <t>Switch each input type back to its old selector</t>
  </si>
  <si>
    <t>Actuarial model owner</t>
  </si>
  <si>
    <t>D08-D11; D20; D22</t>
  </si>
  <si>
    <t>W12</t>
  </si>
  <si>
    <t>2 - Policy keys</t>
  </si>
  <si>
    <t>Confirm product and strategy inputs</t>
  </si>
  <si>
    <t>Document policy key, product/strategy mapping and current elections. Supply only needed selection keys to TableIndex.</t>
  </si>
  <si>
    <t>W03; before any affected row is migrated</t>
  </si>
  <si>
    <t>T13 passes; one row per policy; no invented product key or default</t>
  </si>
  <si>
    <t>Keep current inforce path</t>
  </si>
  <si>
    <t>Inforce owner</t>
  </si>
  <si>
    <t>W13</t>
  </si>
  <si>
    <t>3 - Optional</t>
  </si>
  <si>
    <t>Improve table organization further</t>
  </si>
  <si>
    <t>After selection is centralized, assess physical regrouping and shared formats one input type at a time.</t>
  </si>
  <si>
    <t>W09; W11; W12</t>
  </si>
  <si>
    <t>Document why each format change is useful; confirm all fields, units and axes before conversion</t>
  </si>
  <si>
    <t>Retain existing table structure</t>
  </si>
  <si>
    <t>Model architect + data owner</t>
  </si>
  <si>
    <t>D08; D09; D15; D16; D20</t>
  </si>
  <si>
    <t>W14</t>
  </si>
  <si>
    <t>Release</t>
  </si>
  <si>
    <t>Repeat a run and rehearse rollback</t>
  </si>
  <si>
    <t>Pin data, mapping, TableIndex code and downstream connections. Repeat an old run after adding a new release; restore the previous complete version.</t>
  </si>
  <si>
    <t>W07; W08; all tasks included in release</t>
  </si>
  <si>
    <t>T18 passes; reviewed result comparisons; release scope explicitly accepted</t>
  </si>
  <si>
    <t>Restore prior data + mapping + selector + connections</t>
  </si>
  <si>
    <t>Release owner</t>
  </si>
  <si>
    <t>D19; D26</t>
  </si>
  <si>
    <t>table structure</t>
  </si>
  <si>
    <t>Authoritative pilot NPZ and exported existing table data</t>
  </si>
  <si>
    <t>Compare dtype, field order/offsets, shape, size expectation and required fields.</t>
  </si>
  <si>
    <t>Match approved existing contract; do not count parse success as model correctness.</t>
  </si>
  <si>
    <t>Exact contract comparison; conversions separately approved</t>
  </si>
  <si>
    <t>D04; D10</t>
  </si>
  <si>
    <t>Key identity</t>
  </si>
  <si>
    <t>Unique IDs; duplicate IDs; zero/sentinel IDs</t>
  </si>
  <si>
    <t>Through TableIndex, match the effective policy ID within the selected table/version. Test duplicate and sentinel IDs.</t>
  </si>
  <si>
    <t>One intended row or explicit documented error; no accidental positional lookup.</t>
  </si>
  <si>
    <t>Exact ID and cardinality comparison</t>
  </si>
  <si>
    <t>Missing reference</t>
  </si>
  <si>
    <t>Missing policy feature ID; nonexistent referenced ID</t>
  </si>
  <si>
    <t>Exercise missing-key behavior and product-default precedence.</t>
  </si>
  <si>
    <t>Documented result; no silent first/last-row or zero-rate substitution.</t>
  </si>
  <si>
    <t>Exact agreed rule</t>
  </si>
  <si>
    <t>D02; D14</t>
  </si>
  <si>
    <t>Axis / unit</t>
  </si>
  <si>
    <t>Lowest/highest valid age and values just outside; known sample rate</t>
  </si>
  <si>
    <t>Test axis origin, bounds and unit conversion if any.</t>
  </si>
  <si>
    <t>Selected array element and rate agree with existing behavior.</t>
  </si>
  <si>
    <t>Exact identity without conversion; reviewed tolerance otherwise</t>
  </si>
  <si>
    <t>Record ordering</t>
  </si>
  <si>
    <t>Same logical keyed data in a different row order</t>
  </si>
  <si>
    <t>Reorder keyed rows, rebuild TableIndex and use its new row index against the same reordered table.</t>
  </si>
  <si>
    <t>The selected business record stays the same; its numeric row index may change.</t>
  </si>
  <si>
    <t>Exact selected row identity</t>
  </si>
  <si>
    <t>Version parity</t>
  </si>
  <si>
    <t>Representative current standard runs</t>
  </si>
  <si>
    <t>Compare the table/version selected through Time Mapping + TableIndex with the current switch result for every input type.</t>
  </si>
  <si>
    <t>Same dataset/version/variant selected for every input type.</t>
  </si>
  <si>
    <t>Exact selection identity</t>
  </si>
  <si>
    <t>D01; D10</t>
  </si>
  <si>
    <t>Time boundary</t>
  </si>
  <si>
    <t>Before/on/after each effective date and interval end</t>
  </si>
  <si>
    <t>Exercise proposed interval boundaries using owner-approved date basis.</t>
  </si>
  <si>
    <t>One intended version; boundary behavior matches approved rule.</t>
  </si>
  <si>
    <t>Gap / overlap</t>
  </si>
  <si>
    <t>No applicable release; two applicable releases; future release</t>
  </si>
  <si>
    <t>Test missing/ambiguous selection handling.</t>
  </si>
  <si>
    <t>Explicit approved outcome; no implicit latest or arbitrary row fallback.</t>
  </si>
  <si>
    <t>Exact error or selected identity</t>
  </si>
  <si>
    <t>Mixed versions</t>
  </si>
  <si>
    <t>input types whose latest approved releases differ</t>
  </si>
  <si>
    <t>Resolve mortality, lapse and withdrawal independently.</t>
  </si>
  <si>
    <t>No unintended single global vintage imposed on all input types.</t>
  </si>
  <si>
    <t>Exact per-input type selection</t>
  </si>
  <si>
    <t>Precedence</t>
  </si>
  <si>
    <t>Accounting context, debug controls and approved override combinations</t>
  </si>
  <si>
    <t>Verify control ordering and invalid combinations.</t>
  </si>
  <si>
    <t>Same approved legacy behavior and explicit selection reason.</t>
  </si>
  <si>
    <t>Exact control and selection behavior</t>
  </si>
  <si>
    <t>At-issue</t>
  </si>
  <si>
    <t>Representative ad hoc at_issue run and issue-year boundaries</t>
  </si>
  <si>
    <t>Select dedicated branch and retain all distinct fields.</t>
  </si>
  <si>
    <t>At_issue remains available and matches its own baseline.</t>
  </si>
  <si>
    <t>Exact inputs; output tolerance to be agreed</t>
  </si>
  <si>
    <t>Rider variants</t>
  </si>
  <si>
    <t>Ordinary/flex, single/joint, relevant Guardian cases</t>
  </si>
  <si>
    <t>Use TableIndex to choose ordinary/flex/single/joint MAWA/PIP IDs; preserve rider flags and approved precedence.</t>
  </si>
  <si>
    <t>Same elected references and all required IA flags preserved.</t>
  </si>
  <si>
    <t>Exact ID/flag comparison</t>
  </si>
  <si>
    <t>Policy reconciliation</t>
  </si>
  <si>
    <t>Policy keys, allocations, elected terms and balances</t>
  </si>
  <si>
    <t>Compare counts/keys; reconcile any approved scalar-array transform.</t>
  </si>
  <si>
    <t>One row per policy maintained; no duplicated or lost balance or election.</t>
  </si>
  <si>
    <t>Exact keys/counts; numeric tolerance to be agreed</t>
  </si>
  <si>
    <t>table structure version</t>
  </si>
  <si>
    <t>Withdrawal version with/without transition matrix; mortality/lapse variants</t>
  </si>
  <si>
    <t>Exercise supported/unsupported table structure routing without inferred defaults.</t>
  </si>
  <si>
    <t>Correct explicit adapter/variant or informative rejection.</t>
  </si>
  <si>
    <t>Exact table structure/variant identity</t>
  </si>
  <si>
    <t>D08; D09; D20</t>
  </si>
  <si>
    <t>Market / grid</t>
  </si>
  <si>
    <t>Confirmed market and option-grid contracts if included</t>
  </si>
  <si>
    <t>Verify index/tenor/grid order, dates, units and extension preservation.</t>
  </si>
  <si>
    <t>existing meaning and all required dimensions retained.</t>
  </si>
  <si>
    <t>Exact table structure and approved numerical tolerance</t>
  </si>
  <si>
    <t>D15; D16</t>
  </si>
  <si>
    <t>Selected input parity</t>
  </si>
  <si>
    <t>existing vs adapted inputs for agreed pilot policies</t>
  </si>
  <si>
    <t>Compare the old selection with TableIndex: selected table version, business ID, full row and arrays; then compare downstream reads.</t>
  </si>
  <si>
    <t>All unexplained input differences resolved before result comparison.</t>
  </si>
  <si>
    <t>Exact where unchanged; approved conversions documented</t>
  </si>
  <si>
    <t>Model regression</t>
  </si>
  <si>
    <t>Fixed policies/scenarios/seeds/run controls; approved baseline</t>
  </si>
  <si>
    <t>Compare relevant intermediate values and cashflows, then aggregate outputs.</t>
  </si>
  <si>
    <t>Differences meet an agreed tolerance and have documented causes.</t>
  </si>
  <si>
    <t>Owner to specify absolute/relative tolerance and scope</t>
  </si>
  <si>
    <t>Replay / rollback</t>
  </si>
  <si>
    <t>Saved run manifest; a later data release; previous input bundle</t>
  </si>
  <si>
    <t>Repeat a prior run using pinned data, Time Mapping, TableIndex code and connections. Restore the prior full bundle.</t>
  </si>
  <si>
    <t>Historical selection reproducible; rollback restores expected behavior.</t>
  </si>
  <si>
    <t>Exact selection identity; approved output tolerance</t>
  </si>
  <si>
    <t>T19</t>
  </si>
  <si>
    <t>Table/index pair</t>
  </si>
  <si>
    <t>Two versions with the same IDs but different row order</t>
  </si>
  <si>
    <t>Pair an index from version A with version B, then test the valid pair.</t>
  </si>
  <si>
    <t>Wrong pairing is detected before a rate is read; valid pair returns the intended record.</t>
  </si>
  <si>
    <t>Exact table identity, index bounds and matched ID</t>
  </si>
  <si>
    <t>D21; D25</t>
  </si>
  <si>
    <t>T20</t>
  </si>
  <si>
    <t>Match outcome</t>
  </si>
  <si>
    <t>No matching row; two matching rows; approved default; unused feature</t>
  </si>
  <si>
    <t>Exercise each TableIndex outcome; attempt a downstream read after an invalid match.</t>
  </si>
  <si>
    <t>Invalid match blocks the read; approved default is recorded; unused feature is explicitly Not applicable.</t>
  </si>
  <si>
    <t>Exact approved status and error behavior</t>
  </si>
  <si>
    <t>D22; D24</t>
  </si>
  <si>
    <t>T21</t>
  </si>
  <si>
    <t>Refresh / reuse</t>
  </si>
  <si>
    <t>Two policies with different IDs; a changed selection key; new mapping/table revision</t>
  </si>
  <si>
    <t>Evaluate first, middle and late projection steps; change a key or version and repeat.</t>
  </si>
  <si>
    <t>No reuse across different selection contexts; reselect when a relevant key changes.</t>
  </si>
  <si>
    <t>Exact selected identity; time-dependent behavior as approved</t>
  </si>
  <si>
    <t>D23</t>
  </si>
  <si>
    <t>T22</t>
  </si>
  <si>
    <t>Single selection owner</t>
  </si>
  <si>
    <t>Migrated pilot path and all existing dependences</t>
  </si>
  <si>
    <t>Trace from TableIndex output to the real rate read; review old search/switch code.</t>
  </si>
  <si>
    <t>New path uses the selected table and row; no downstream code silently reselects a different table.</t>
  </si>
  <si>
    <t>Exact connection inventory; all paths accounted for</t>
  </si>
  <si>
    <t>D18; D25; D26</t>
  </si>
  <si>
    <t>T23</t>
  </si>
  <si>
    <t>Known age/duration sample and approved downstream baseline</t>
  </si>
  <si>
    <t>Compare row selection separately from array-element/rate calculation. Check dependency graph for a cycle.</t>
  </si>
  <si>
    <t>TableIndex returns references; existing formulas use the same data and axes; no circular dependence.</t>
  </si>
  <si>
    <t>Exact selected inputs; agreed output tolerance</t>
  </si>
  <si>
    <t>D03; D19; D22</t>
  </si>
  <si>
    <t>T24</t>
  </si>
  <si>
    <t>Success, approved default, invalid match and replay samples</t>
  </si>
  <si>
    <t>Read the selection log and locate the source record from it.</t>
  </si>
  <si>
    <t>Run, policy reference, input type, table/version, key, index, status, rule and revisions identify the selection.</t>
  </si>
  <si>
    <t>Every required field present; exact IDs and versions</t>
  </si>
  <si>
    <t>D21; D24</t>
  </si>
  <si>
    <t>Before selector replacement</t>
  </si>
  <si>
    <t>Date and precedence for time mapping</t>
  </si>
  <si>
    <t>User: downstream switches generally select the latest year; a time-mapping ticket is already planned.</t>
  </si>
  <si>
    <t>Retain each input type's current choice; specify selection date, interval boundaries and override precedence.</t>
  </si>
  <si>
    <t>What date drives each input type? Can accounting mode or override outrank time selection?</t>
  </si>
  <si>
    <t>User-confirmed behavior; implementation unreviewed</t>
  </si>
  <si>
    <t>Time Mapping; T06-T10</t>
  </si>
  <si>
    <t>Before pilot import</t>
  </si>
  <si>
    <t>Feature ID namespace</t>
  </si>
  <si>
    <t>E055/E056 and O155/O156 show ID columns; actual key sets are unavailable.</t>
  </si>
  <si>
    <t>Use source model + table data version + feature ID in catalog identity; avoid positional indexing.</t>
  </si>
  <si>
    <t>Are IDs unique within a table/version? Are IA and Omni ID meanings identical?</t>
  </si>
  <si>
    <t>F01; F03; T02-T03</t>
  </si>
  <si>
    <t>MAWA/PIP axis and rate units</t>
  </si>
  <si>
    <t>Both drafts show 121 entries; starting age and units are not established.</t>
  </si>
  <si>
    <t>Record age origin, age convention, unit and out-of-range behavior before any conversion.</t>
  </si>
  <si>
    <t>What does index 0 mean? Decimal or percentage? Any sentinel or terminal-rate rule?</t>
  </si>
  <si>
    <t>F02; F04; T04</t>
  </si>
  <si>
    <t>Before pilot export</t>
  </si>
  <si>
    <t>existing dtype and size contract</t>
  </si>
  <si>
    <t>IA tables show DynamicSize; Omni counterparts show FixedSize; some dtype strings are corrupted.</t>
  </si>
  <si>
    <t>Retain each consumer's existing contract until dtype/shape is checked; do not hardcode 311/560.</t>
  </si>
  <si>
    <t>What are the real dtype, byte/string representation, row counts and size expectations?</t>
  </si>
  <si>
    <t>Visible declaration; real NPZ unverified</t>
  </si>
  <si>
    <t>F01-F06; T01; T05</t>
  </si>
  <si>
    <t>Before policy/strategy mapping</t>
  </si>
  <si>
    <t>Policy identity and product key</t>
  </si>
  <si>
    <t>User confirmed one row per policy. IA draft does not reliably reveal a policy key or product code.</t>
  </si>
  <si>
    <t>Keep policy row meaning; document primary key and mapping key without synthesizing product identifiers.</t>
  </si>
  <si>
    <t>Which fields uniquely identify a policy and link it to product/strategy metadata?</t>
  </si>
  <si>
    <t>User-confirmed row meaning; key unconfirmed</t>
  </si>
  <si>
    <t>F17-F22; T13</t>
  </si>
  <si>
    <t>Before policy adapter</t>
  </si>
  <si>
    <t>Policy scalar/array differences</t>
  </si>
  <si>
    <t>IA shows scalar index_cap/account_value; Omni has fund arrays and fund_value.</t>
  </si>
  <si>
    <t>Compare meaning and aggregation before any scalar-to-array transform.</t>
  </si>
  <si>
    <t>How do account allocations, totals, elected rates and multi-strategy policies map?</t>
  </si>
  <si>
    <t>Visible declaration; equivalence unconfirmed</t>
  </si>
  <si>
    <t>F20-F23; T13</t>
  </si>
  <si>
    <t>Before controls split</t>
  </si>
  <si>
    <t>Control precedence and overrides</t>
  </si>
  <si>
    <t>IA DebugSwitch and AccountingSetting overlap with ModelAssumptions controls.</t>
  </si>
  <si>
    <t>One run context with documented precedence; preserve all approved legacy combinations.</t>
  </si>
  <si>
    <t>What are valid combinations, default values and debug/production overrides?</t>
  </si>
  <si>
    <t>Visible declaration; runtime unknown</t>
  </si>
  <si>
    <t>F26-F28; T10</t>
  </si>
  <si>
    <t>Before mortality table structure conversion</t>
  </si>
  <si>
    <t>Mortality table data decomposition</t>
  </si>
  <si>
    <t>IA Mortality_* combines BaseRates, Scale_G2, multipliers and AnnFac. Omni uses several tables.</t>
  </si>
  <si>
    <t>Keep composite table data initially; design separate contracts only after semantics are documented.</t>
  </si>
  <si>
    <t>RiskClass/sex/smoker correspondence? Rate units? Improvement basis? AnnFac axes?</t>
  </si>
  <si>
    <t>F29-F33; T14</t>
  </si>
  <si>
    <t>Before surrender table structure conversion</t>
  </si>
  <si>
    <t>Surrender table axes</t>
  </si>
  <si>
    <t>IA probability shows (20,2); Omni LapseTable separates flags and lapse_pct[20].</t>
  </si>
  <si>
    <t>Keep existing axes; obtain a field-by-field classification before reshaping.</t>
  </si>
  <si>
    <t>Meaning of the second axis, age buckets, surrender-charge period and terminal duration?</t>
  </si>
  <si>
    <t>F34; T14</t>
  </si>
  <si>
    <t>Before any 2026 activation</t>
  </si>
  <si>
    <t>2026 source authority</t>
  </si>
  <si>
    <t>E137-E164 repeat contradictory FullSurrender_2026 declarations; E166 onward is malformed.</t>
  </si>
  <si>
    <t>hold for source review these transcript occurrences; use an authoritative export before populating executable mappings.</t>
  </si>
  <si>
    <t>Which original dataset and table structure represent the approved 2026 release?</t>
  </si>
  <si>
    <t>OCR/stitching and XML issues</t>
  </si>
  <si>
    <t>T01; T06</t>
  </si>
  <si>
    <t>Before at-issue replacement</t>
  </si>
  <si>
    <t>At-issue semantics and availability</t>
  </si>
  <si>
    <t>User: at_issue is an occasional ad hoc run and must be retained; source tables contain distinct fields.</t>
  </si>
  <si>
    <t>Dedicated run mode and mapping branch; retain existing issue-year axes where present.</t>
  </si>
  <si>
    <t>Which input types participate, how is issue_year used, and what baseline case proves parity?</t>
  </si>
  <si>
    <t>User-confirmed purpose; selection details unconfirmed</t>
  </si>
  <si>
    <t>TM10-TM16; T11</t>
  </si>
  <si>
    <t>Before rider consolidation</t>
  </si>
  <si>
    <t>GLB extension and flex selection</t>
  </si>
  <si>
    <t>IA glb_info has more fields; both policies show flex_mawa_id_single/joint.</t>
  </si>
  <si>
    <t>Common core plus named IA extension; preserve single/joint/flex selectors.</t>
  </si>
  <si>
    <t>Which IDs are chosen for ordinary/flex/joint policies and what defaults are valid?</t>
  </si>
  <si>
    <t>F07-F16; T12</t>
  </si>
  <si>
    <t>Before accounting context mapping</t>
  </si>
  <si>
    <t>Basis grouping</t>
  </si>
  <si>
    <t>IA accounting_type/AccountingSetting differs from Omni Basis and per-table basis.</t>
  </si>
  <si>
    <t>Maintain separate accounting context and assumption-selection fields.</t>
  </si>
  <si>
    <t>How do hedge/GAAP/MRB settings relate to assumption bases, margins and at_issue?</t>
  </si>
  <si>
    <t>F27-F28; T10</t>
  </si>
  <si>
    <t>Before product mapping design</t>
  </si>
  <si>
    <t>Direct IDs vs product defaults</t>
  </si>
  <si>
    <t>Both models carry feature IDs in policy input; Omni also describes product-to-group lookups.</t>
  </si>
  <si>
    <t>Support both explicit ID references and documented product mappings.</t>
  </si>
  <si>
    <t>Which fields come from policy elections and which are defaults? How are missing IDs handled?</t>
  </si>
  <si>
    <t>Visible declaration; precedence unknown</t>
  </si>
  <si>
    <t>DOM02; T03</t>
  </si>
  <si>
    <t>Before market data changes</t>
  </si>
  <si>
    <t>Market table structure equivalence</t>
  </si>
  <si>
    <t>g2pp/inverse_gamma have no confirmed Omni counterparts; hybrid_index_params is OCR damaged.</t>
  </si>
  <si>
    <t>Preserve IA market tables and observation context; map only confirmed shared fields.</t>
  </si>
  <si>
    <t>Index naming, currency, curve tenors, quote units and snapshot/roll-forward conventions?</t>
  </si>
  <si>
    <t>F38-F39; T15</t>
  </si>
  <si>
    <t>Before option grid changes</t>
  </si>
  <si>
    <t>cap_and_strike purpose</t>
  </si>
  <si>
    <t>Dataset is inside inforce but has type Assumptions and multiple strike/cap grids.</t>
  </si>
  <si>
    <t>Keep as a pricing-configuration candidate until intended use is confirmed.</t>
  </si>
  <si>
    <t>Pricing grid, calibration grid or policy data? Which consumers and boundary rules?</t>
  </si>
  <si>
    <t>Inferred purpose</t>
  </si>
  <si>
    <t>DOM07; T15</t>
  </si>
  <si>
    <t>Shock scope</t>
  </si>
  <si>
    <t>Prior user instruction: do not analyze shocks for now.</t>
  </si>
  <si>
    <t>Inventory only; retain all existing files and references.</t>
  </si>
  <si>
    <t>Does a later phase explicitly include shocks?</t>
  </si>
  <si>
    <t>User-confirmed scope</t>
  </si>
  <si>
    <t>Before execution commitment</t>
  </si>
  <si>
    <t>Consumer and data-preparation impact</t>
  </si>
  <si>
    <t>IA source review covers datasources. Omni TableIndex and AnnuityInfo call interfaces were read for this revision; IA downstream connections and producers remain unreviewed.</t>
  </si>
  <si>
    <t>Complete the exact MAWA/PIP component and parameter cells in Selector Map before changing model connections.</t>
  </si>
  <si>
    <t>Are file paths, dataset names, row order or array sizes assumed outside this XML?</t>
  </si>
  <si>
    <t>W03; W06; W07</t>
  </si>
  <si>
    <t>Before result comparison</t>
  </si>
  <si>
    <t>Baseline and tolerance</t>
  </si>
  <si>
    <t>No executable model, numerical baseline or approved tolerances supplied.</t>
  </si>
  <si>
    <t>Require exact selected-input identity first; define output tolerances separately.</t>
  </si>
  <si>
    <t>Which representative standard/flex/joint/at_issue cases and approved tolerances apply?</t>
  </si>
  <si>
    <t>T16-T18</t>
  </si>
  <si>
    <t>Before table union</t>
  </si>
  <si>
    <t>Data version vs table structure version</t>
  </si>
  <si>
    <t>WithdrawalAmount_2023 shows prob_transition; other visible versions do not.</t>
  </si>
  <si>
    <t>Version table data structure separately from assumption values; do not zero-fill missing transitions.</t>
  </si>
  <si>
    <t>Is the difference real, a model variant, or an omitted OCR field?</t>
  </si>
  <si>
    <t>Visible difference; cause unconfirmed</t>
  </si>
  <si>
    <t>F35-F37; T14</t>
  </si>
  <si>
    <t>D21</t>
  </si>
  <si>
    <t>Before selector code</t>
  </si>
  <si>
    <t>Index output contract</t>
  </si>
  <si>
    <t>Omni exposes named *_idx results. IA has no TableIndex today (user confirmed).</t>
  </si>
  <si>
    <t>Use an integer row index paired with exact table/version identity and match status.</t>
  </si>
  <si>
    <t>Confirm 0-based/1-based index, scalar dtype, invalid sentinel and output parameter names.</t>
  </si>
  <si>
    <t>Omni O253-O295; O393-O401; U07</t>
  </si>
  <si>
    <t>TableIndex; TI01-TI22; T19</t>
  </si>
  <si>
    <t>D22</t>
  </si>
  <si>
    <t>Before each lookup</t>
  </si>
  <si>
    <t>Record matching rules</t>
  </si>
  <si>
    <t>ID fields are visible for some tables; other versions have damaged or implicit row keys.</t>
  </si>
  <si>
    <t>Document keys per version; exact unique matching by default; explicit approved defaults only.</t>
  </si>
  <si>
    <t>Which keys, ranges, priorities, wildcard rules and feature branches apply to each table?</t>
  </si>
  <si>
    <t>E055-E060; E065-E087; E123-E134</t>
  </si>
  <si>
    <t>Selector Map; T02-T04; T20</t>
  </si>
  <si>
    <t>Before reuse or caching</t>
  </si>
  <si>
    <t>When selection must run again</t>
  </si>
  <si>
    <t>Omni AnnuityInfo receives curr_pol_yr and curr_step; runtime rules are not visible.</t>
  </si>
  <si>
    <t>Reuse a selection only while all relevant keys, settings and table revisions remain unchanged.</t>
  </si>
  <si>
    <t>Which lookups are fixed per run/policy and which change during projection?</t>
  </si>
  <si>
    <t>Omni O326-O327</t>
  </si>
  <si>
    <t>Selector Map; T21</t>
  </si>
  <si>
    <t>D24</t>
  </si>
  <si>
    <t>Before integration</t>
  </si>
  <si>
    <t>Missing, duplicate and unused records</t>
  </si>
  <si>
    <t>Internal error rules of the external libraries are unavailable.</t>
  </si>
  <si>
    <t>Return an explicit match status; prevent a required invalid selection from reaching a rate read.</t>
  </si>
  <si>
    <t>What error mechanism does PathWise support? What defaults are valid? How is Not applicable represented?</t>
  </si>
  <si>
    <t>Proposed behavior; internal algorithms unconfirmed</t>
  </si>
  <si>
    <t>TableIndex; T20; T24</t>
  </si>
  <si>
    <t>D25</t>
  </si>
  <si>
    <t>Before connections change</t>
  </si>
  <si>
    <t>How the chosen table reaches calculations</t>
  </si>
  <si>
    <t>A text table label is insufficient to prove a runtime table can be passed dynamically.</t>
  </si>
  <si>
    <t>Prefer confirmed typed table inputs and fixed ports; centralize selection and let downstream code perform a deterministic read.</t>
  </si>
  <si>
    <t>Can PathWise pass the selected dataset directly? Otherwise which table code and fixed input ports are required?</t>
  </si>
  <si>
    <t>Visible Omni params/result-map; IA runtime connection unconfirmed</t>
  </si>
  <si>
    <t>Selector Map destination columns; W03; W06; T19; T22</t>
  </si>
  <si>
    <t>D26</t>
  </si>
  <si>
    <t>Before pilot sign-off</t>
  </si>
  <si>
    <t>Central selection acceptance</t>
  </si>
  <si>
    <t>The requested result is an IA TableIndex aligned with the Omni approach.</t>
  </si>
  <si>
    <t>Accept the pilot only after MAWA/PIP dependences use TableIndex outputs and duplicate selection is disabled.</t>
  </si>
  <si>
    <t>Who reviews connection completeness, input agreement, result tolerances and the release scope?</t>
  </si>
  <si>
    <t>User requirement; proposed delivery gate</t>
  </si>
  <si>
    <t>W07; W14; T16-T24</t>
  </si>
  <si>
    <t>U07</t>
  </si>
  <si>
    <t>User requirement</t>
  </si>
  <si>
    <t>IA/ESG has no TableIndex today. Add a central assumption selector aligned with Omni; keep the rest of the workbook structure and use plain English.</t>
  </si>
  <si>
    <t>U08</t>
  </si>
  <si>
    <t>Naming in user-saved workbook</t>
  </si>
  <si>
    <t>User changed visible model label from ESG to IA. This revision uses IA for the proposal; E references still point to ESG_merged_draft.xml.</t>
  </si>
  <si>
    <t>Naming: IA in this proposal = ESG source file. Source E/O line references and raw excerpts are preserved.</t>
  </si>
  <si>
    <t>Ref</t>
  </si>
  <si>
    <t>Source location</t>
  </si>
  <si>
    <t>Visible interface / proposal</t>
  </si>
  <si>
    <t>Evidence level</t>
  </si>
  <si>
    <t>Meaning for IA design</t>
  </si>
  <si>
    <t>Limit / review note</t>
  </si>
  <si>
    <t>OI01</t>
  </si>
  <si>
    <t>O208-O252 | TableIndex / R16</t>
  </si>
  <si>
    <t>ProductParam.complib.xml takes policy keys and assumption tables.</t>
  </si>
  <si>
    <t>Visible call interface</t>
  </si>
  <si>
    <t>Supports a visible selector boundary. Internal matching algorithms are unavailable.</t>
  </si>
  <si>
    <t>Read only; no source repair</t>
  </si>
  <si>
    <t>OI02</t>
  </si>
  <si>
    <t>O253-O295 | TableIndex outputs</t>
  </si>
  <si>
    <t>Named mortality, lapse, charge, expense and other table indices.</t>
  </si>
  <si>
    <t>Visible outputs</t>
  </si>
  <si>
    <t>Output names can inform the proposal; no inferred index base or duplicate/default rules.</t>
  </si>
  <si>
    <t>Duplicate OCR fragments remain unverified</t>
  </si>
  <si>
    <t>OI03</t>
  </si>
  <si>
    <t>O298-O350 | AnnuityInfo / R29</t>
  </si>
  <si>
    <t>GMxBInfo.complib.xml takes annuity tables and feature IDs; receives curr_pol_yr/curr_step.</t>
  </si>
  <si>
    <t>Omni annuity selection is not all inside the general TableIndex. Time dependence must be assessed.</t>
  </si>
  <si>
    <t>Malformed tags remain uncorrected</t>
  </si>
  <si>
    <t>OI04</t>
  </si>
  <si>
    <t>O373-O401 | AnnuityInfo outputs</t>
  </si>
  <si>
    <t>annuity_param_tbl_idx, part_wd_* indices, glip_idx, mawa_rate_idx and pip_rate_idx.</t>
  </si>
  <si>
    <t>Proposed IA central entry point combines relevant visible patterns; exact IA binding is unconfirmed.</t>
  </si>
  <si>
    <t>External algorithms not analyzed</t>
  </si>
  <si>
    <t>PI01</t>
  </si>
  <si>
    <t>IA</t>
  </si>
  <si>
    <t>TableIndex; Selector Map; D21-D26</t>
  </si>
  <si>
    <t>New central selector uses the existing planned Time Mapping helper.</t>
  </si>
  <si>
    <t>Proposed design</t>
  </si>
  <si>
    <t>All new names and rules are proposals, not fields asserted to exist in either model.</t>
  </si>
  <si>
    <t>Model tests Not run</t>
  </si>
  <si>
    <t>TableIndex | one place to select assumptions</t>
  </si>
  <si>
    <t>IA target design. TableIndex is new work; Time Mapping is the existing planned ticket. Implementation and model tests have not been run.</t>
  </si>
  <si>
    <t>Inputs
Policy feature IDs
Product / run settings</t>
  </si>
  <si>
    <t>NEW TableIndex
Choose table version
Match policy to record</t>
  </si>
  <si>
    <t>Outputs to calculations
Selected table + row index
Match status</t>
  </si>
  <si>
    <t>Table register
Available datasets
Keys + format + version</t>
  </si>
  <si>
    <t>Time Mapping helper
Approved version per type
Standard / at_issue</t>
  </si>
  <si>
    <t>Existing calculations
Read selected row / array
Apply existing formulas</t>
  </si>
  <si>
    <t>Step</t>
  </si>
  <si>
    <t>TableIndex responsibility</t>
  </si>
  <si>
    <t>What the calculation component receives</t>
  </si>
  <si>
    <t>1. Read context</t>
  </si>
  <si>
    <t>Use policy IDs, product defaults if confirmed, run mode, date and accounting context.</t>
  </si>
  <si>
    <t>The original policy remains unchanged; balances and calculations stay in their existing paths.</t>
  </si>
  <si>
    <t>2. Choose version</t>
  </si>
  <si>
    <t>Call the planned Time Mapping helper for each input type. For undated product tables, use an explicit pinned release.</t>
  </si>
  <si>
    <t>A specific table/version and supported structure. Mortality and lapse may use different years.</t>
  </si>
  <si>
    <t>3. Match record</t>
  </si>
  <si>
    <t>Apply the approved key rule within that table. Handle flex/single/joint and elected/default rules explicitly.</t>
  </si>
  <si>
    <t>A row index belonging to that exact table; a business ID is not assumed to be a row number.</t>
  </si>
  <si>
    <t>4. Return and record</t>
  </si>
  <si>
    <t>Return selected table identity + row index + match status. Record keys and rule/revision used.</t>
  </si>
  <si>
    <t>A valid reference, approved default or explicit failure / Not applicable status.</t>
  </si>
  <si>
    <t>5. Read and calculate</t>
  </si>
  <si>
    <t>Downstream dependences use the supplied reference. Reselect only when a relevant key or context changes.</t>
  </si>
  <si>
    <t>The same row and arrays as the old path, read using the existing age/duration rules.</t>
  </si>
  <si>
    <t>Interface</t>
  </si>
  <si>
    <t>Proposed fields / connection</t>
  </si>
  <si>
    <t>Implementation rule</t>
  </si>
  <si>
    <t>Inputs</t>
  </si>
  <si>
    <t>Policy feature IDs; confirmed product keys; run settings; candidate tables; Time Mapping result.</t>
  </si>
  <si>
    <t>Use typed parameters supported by PathWise. Exact IA expressions and destination parameters stay blank in Selector Map until confirmed.</t>
  </si>
  <si>
    <t>Index outputs</t>
  </si>
  <si>
    <t>For each type: &lt;type&gt;_table_key, &lt;type&gt;_tbl_idx and &lt;type&gt;_match_status. Pilot names: mawa_rate_idx and pip_rate_idx.</t>
  </si>
  <si>
    <t>Names are proposed. Confirm index base, integer type and invalid/unused values. Keep data version and structure version with the selection.</t>
  </si>
  <si>
    <t>Table connection</t>
  </si>
  <si>
    <t>Preferred: a supported table binding plus its index. If needed: a fixed table code and known input ports.</t>
  </si>
  <si>
    <t>A text table_key is a tracking label, not a dynamic data pointer. Downstream dispatch may select the specified port; it must not repeat assumption-choice rules.</t>
  </si>
  <si>
    <t>Run/policy reference, input type, table/version, matched key, row index, status, selection reason, mapping and selector revision.</t>
  </si>
  <si>
    <t>Keep enough information to locate the chosen record and repeat the run. Record errors and approved defaults too.</t>
  </si>
  <si>
    <t>MAWA pilot</t>
  </si>
  <si>
    <t>Proposed path</t>
  </si>
  <si>
    <t>What must be confirmed</t>
  </si>
  <si>
    <t>Policy → key</t>
  </si>
  <si>
    <t>policies.mawa_id or the applicable flex_mawa_id_single / flex_mawa_id_joint → effective MAWA key.</t>
  </si>
  <si>
    <t>E023-E024 show fields. The existing branch and election/default rules are not yet confirmed; do not invent them.</t>
  </si>
  <si>
    <t>Key → row</t>
  </si>
  <si>
    <t>Selected glb_mawa_rate version + effective key → TableIndex.mawa_rate_idx + status.</t>
  </si>
  <si>
    <t>E055 has mawa_id and mawa_rate. Verify uniqueness and index convention using the real input.</t>
  </si>
  <si>
    <t>Row → rate</t>
  </si>
  <si>
    <t>Existing MAWA calculation reads mawa_rate from the selected row, then uses its existing age-axis rule.</t>
  </si>
  <si>
    <t>Fill exact component and parameter names in TI01. The 121-entry array does not establish its age origin or units.</t>
  </si>
  <si>
    <t>Acceptance</t>
  </si>
  <si>
    <t>Compare old/new table, matched ID, full array, selected rate and affected outputs. Then disable the old duplicate selector.</t>
  </si>
  <si>
    <t>T01-T05, T12, T16-T24 as applicable. This workbook specifies tests; it does not report model test results.</t>
  </si>
  <si>
    <t>What is established</t>
  </si>
  <si>
    <t>Design implication</t>
  </si>
  <si>
    <t>Visible in Omni</t>
  </si>
  <si>
    <t>TableIndex imports ProductParam.complib.xml and exposes mortality/lapse/charge and other *_idx outputs. O208-O295.</t>
  </si>
  <si>
    <t>Reuse the separation between table selection and downstream calculation. Internal matching rules are not visible.</t>
  </si>
  <si>
    <t>AnnuityInfo imports GMxBInfo.complib.xml and exposes MAWA/PIP and other annuity indices. O298-O401.</t>
  </si>
  <si>
    <t>The unified IA entry point is a proposal combining visible patterns. Omni does not show every annuity index in its general TableIndex.</t>
  </si>
  <si>
    <t>User-confirmed</t>
  </si>
  <si>
    <t>IA has no TableIndex. Add a central selector; keep the existing time-mapping ticket and rare at_issue runs.</t>
  </si>
  <si>
    <t>File organization alone does not meet the requested target. MAWA/PIP connections must use the new selector.</t>
  </si>
  <si>
    <t>Not confirmed</t>
  </si>
  <si>
    <t>Real NPZ formats, full IA selection rules, destination parameters and PathWise table-passing/error behavior.</t>
  </si>
  <si>
    <t>Leave confirmation cells editable. Use trusted internal metadata before implementing each lookup.</t>
  </si>
  <si>
    <t>Read Selector Map for each input type. Existing nine tabs retain their order; the two new selector tabs are appended.</t>
  </si>
  <si>
    <t>Required match: one valid record. No match or multiple matches: explicit failure. Approved default: record the rule. Unused feature: Not applicable.</t>
  </si>
  <si>
    <t>Reuse only when policy keys, relevant time/state, run settings, table version and mapping/selector revisions are unchanged. Never reuse one policy’s row for another key.</t>
  </si>
  <si>
    <t>Keep source files read only. Fixing OCR or XML syntax does not establish model correctness. No external calculation-library algorithm is inferred here.</t>
  </si>
  <si>
    <t>TableIndex | lookup and connection register</t>
  </si>
  <si>
    <t>Blue = proposed selection design. Amber = exact expressions, component parameters and decisions to fill locally. Every output name below is proposed.</t>
  </si>
  <si>
    <t>Input table / source lines</t>
  </si>
  <si>
    <t>Policy or run keys to confirm</t>
  </si>
  <si>
    <t>Table/version choice</t>
  </si>
  <si>
    <t>Row-matching rule</t>
  </si>
  <si>
    <t>Proposed TableIndex outputs</t>
  </si>
  <si>
    <t>What downstream code does</t>
  </si>
  <si>
    <t>When to select again</t>
  </si>
  <si>
    <t>Omni evidence / limit</t>
  </si>
  <si>
    <t>Exact IA input expression</t>
  </si>
  <si>
    <t>Destination component / library</t>
  </si>
  <si>
    <t>Destination parameter / dependence</t>
  </si>
  <si>
    <t>Owner decision / notes</t>
  </si>
  <si>
    <t>TI01</t>
  </si>
  <si>
    <t>glb_mawa_rate | E055</t>
  </si>
  <si>
    <t>mawa_id; flex_mawa_id_single/joint | E023-E024</t>
  </si>
  <si>
    <t>Pin approved product-table release; choose the effective ID using the confirmed ordinary/flex rule.</t>
  </si>
  <si>
    <t>Match mawa_id uniquely inside the selected version.</t>
  </si>
  <si>
    <t>mawa_table_key; mawa_rate_idx; mawa_match_status</t>
  </si>
  <si>
    <t>Read mawa_rate from that row; retain array and age/unit rules.</t>
  </si>
  <si>
    <t>Policy key or selected table changes; any confirmed flex-state change.</t>
  </si>
  <si>
    <t>O155; O340/O345/O349; O396 | AnnuityInfo</t>
  </si>
  <si>
    <t>Pilot</t>
  </si>
  <si>
    <t>TI02</t>
  </si>
  <si>
    <t>glb_pip_rate | E056</t>
  </si>
  <si>
    <t>pip_id; flex_pip_id_single/joint | E023-E024</t>
  </si>
  <si>
    <t>Pin approved release; confirm ordinary/flex/single/joint key choice.</t>
  </si>
  <si>
    <t>Match pip_id uniquely inside the selected version.</t>
  </si>
  <si>
    <t>pip_table_key; pip_rate_idx; pip_match_status</t>
  </si>
  <si>
    <t>Read pip_rate array; retain axis and units.</t>
  </si>
  <si>
    <t>Relevant policy feature/state or table revision changes.</t>
  </si>
  <si>
    <t>O156; O341/O347/O350; O401 | AnnuityInfo</t>
  </si>
  <si>
    <t>TI03</t>
  </si>
  <si>
    <t>glb_income_percentage_guardian | E057</t>
  </si>
  <si>
    <t>glip_id visible; policy-to-key expression to confirm</t>
  </si>
  <si>
    <t>Use explicit release; retain feature applicability.</t>
  </si>
  <si>
    <t>Match glip_id; confirm unused-feature behavior.</t>
  </si>
  <si>
    <t>guardian_table_key; glip_idx; guardian_match_status</t>
  </si>
  <si>
    <t>Read income_percentage matrix; confirm both axes.</t>
  </si>
  <si>
    <t>Effective feature key or table changes.</t>
  </si>
  <si>
    <t>O152; O339/O344; O393 | AnnuityInfo</t>
  </si>
  <si>
    <t>TI04</t>
  </si>
  <si>
    <t>GLB terms</t>
  </si>
  <si>
    <t>glb_info | E058</t>
  </si>
  <si>
    <t>GLB_ID table key; source policy expression to confirm</t>
  </si>
  <si>
    <t>Use explicit release and approved rider/default rules.</t>
  </si>
  <si>
    <t>Match GLB_ID; preserve IS_JOINT, IS_FLEX and other IA fields.</t>
  </si>
  <si>
    <t>glb_table_key; glb_info_idx; glb_match_status</t>
  </si>
  <si>
    <t>Read rider settings without dropping IA-only fields.</t>
  </si>
  <si>
    <t>Rider/election or table changes.</t>
  </si>
  <si>
    <t>O151; O337-O338 | related AnnuityInfo inputs</t>
  </si>
  <si>
    <t>TI05</t>
  </si>
  <si>
    <t>GMWB fee</t>
  </si>
  <si>
    <t>gmwb_fee | E054</t>
  </si>
  <si>
    <t>GMWB_FEE_ID visible; policy mapping / elected-default rule unconfirmed</t>
  </si>
  <si>
    <t>Use explicit table release; distinguish current policy fee from product default.</t>
  </si>
  <si>
    <t>Confirm unique fee key before implementation.</t>
  </si>
  <si>
    <t>fee_table_key; gmwb_fee_idx; fee_match_status</t>
  </si>
  <si>
    <t>Read the chosen fee parameters; retain fee calculation.</t>
  </si>
  <si>
    <t>Relevant fee key or table changes.</t>
  </si>
  <si>
    <t>O129 GLBConfig is related only; not an equivalent contract</t>
  </si>
  <si>
    <t>TI06</t>
  </si>
  <si>
    <t>MWV</t>
  </si>
  <si>
    <t>mwv_info | E053</t>
  </si>
  <si>
    <t>mwv_id visible; policy-to-key expression unconfirmed</t>
  </si>
  <si>
    <t>Retain this IA extension and its approved release.</t>
  </si>
  <si>
    <t>Confirm ID and applicability; do not equate MWV with MVA.</t>
  </si>
  <si>
    <t>mwv_table_key; mwv_idx; mwv_match_status</t>
  </si>
  <si>
    <t>Read original MWV fields; preserve meaning.</t>
  </si>
  <si>
    <t>Confirmed key or release changes.</t>
  </si>
  <si>
    <t>No confirmed Omni counterpart</t>
  </si>
  <si>
    <t>TI07</t>
  </si>
  <si>
    <t>Rate settings</t>
  </si>
  <si>
    <t>rate_setting_parameters_2021 | E059</t>
  </si>
  <si>
    <t>rate_setting_id; source mapping to confirm</t>
  </si>
  <si>
    <t>Explicit release; year in name alone is not approval.</t>
  </si>
  <si>
    <t>Match rate_setting_id; preserve alpha_after_cdsc.</t>
  </si>
  <si>
    <t>rate_setting_table_key; rate_setting_idx; rate_setting_match_status</t>
  </si>
  <si>
    <t>Apply existing rate-setting formulas to selected parameters.</t>
  </si>
  <si>
    <t>Mapped key, relevant context or table changes.</t>
  </si>
  <si>
    <t>O148 Opt_Bud_Conf; O389 index is related only</t>
  </si>
  <si>
    <t>TI08</t>
  </si>
  <si>
    <t>surrender_charge | E060</t>
  </si>
  <si>
    <t>surrender_charge_id; source policy expression to confirm</t>
  </si>
  <si>
    <t>Explicit release; separate charge schedule from lapse behavior.</t>
  </si>
  <si>
    <t>Match surrender_charge_id; confirm missing/default rule.</t>
  </si>
  <si>
    <t>surr_charge_table_key; surr_charge_idx; surr_charge_match_status</t>
  </si>
  <si>
    <t>Read the 21-entry schedule with existing duration convention.</t>
  </si>
  <si>
    <t>Charge key/table changes; duration changes array element, not necessarily row.</t>
  </si>
  <si>
    <t>O100; O232; O276 | TableIndex</t>
  </si>
  <si>
    <t>TI09</t>
  </si>
  <si>
    <t>Mortality_* | E049/E065/E072/E123/E129; at_issue E084</t>
  </si>
  <si>
    <t>Standard RiskClass; policy mapping and at_issue keys unconfirmed</t>
  </si>
  <si>
    <t>Time Mapping: input type + mode + accounting context; keep combined IA structure.</t>
  </si>
  <si>
    <t>Match approved standard key. For at_issue, verify issue-year record rule separately.</t>
  </si>
  <si>
    <t>mort_table_key; mort_record_idx; mort_match_status</t>
  </si>
  <si>
    <t>Read BaseRates, Scale_G2, multipliers and AnnFac using current rules.</t>
  </si>
  <si>
    <t>Key/context/version change; confirm projection dependence.</t>
  </si>
  <si>
    <t>O077/O089/O093/O095; O221-O225; O253/O265/O267</t>
  </si>
  <si>
    <t>TI10</t>
  </si>
  <si>
    <t>FullSurrender_* | E050/E066/E071/E132; at_issue E083</t>
  </si>
  <si>
    <t>surrender_charge_period or other confirmed version-specific key</t>
  </si>
  <si>
    <t>Time Mapping chooses approved release; hold disputed 2026 transcript.</t>
  </si>
  <si>
    <t>Confirm key versus array-axis distinction for each structure; no guessed flattening.</t>
  </si>
  <si>
    <t>lapse_table_key; lapse_record_idx; lapse_match_status</t>
  </si>
  <si>
    <t>Read native probability matrix; preserve dimensions and at_issue variants.</t>
  </si>
  <si>
    <t>Relevant product key/context/version change.</t>
  </si>
  <si>
    <t>O083/O097; O228-O229; O256/O269</t>
  </si>
  <si>
    <t>TI11</t>
  </si>
  <si>
    <t>FirstPartialWithdrawal_* | E067/E070/E077/E125; E081</t>
  </si>
  <si>
    <t>Row key not reliably visible; issue_year visible in at_issue</t>
  </si>
  <si>
    <t>Time Mapping selects version/mode; retain classification differences.</t>
  </si>
  <si>
    <t>Document existing row rule per structure; no implicit row-number ID.</t>
  </si>
  <si>
    <t>first_wd_table_key; first_wd_idx; first_wd_match_status</t>
  </si>
  <si>
    <t>Read selected probability matrix; preserve age/duration axes.</t>
  </si>
  <si>
    <t>Relevant classification/state or version change; rule to confirm.</t>
  </si>
  <si>
    <t>O145; O242-O244; O379-O381 are related interfaces</t>
  </si>
  <si>
    <t>TI12</t>
  </si>
  <si>
    <t>WithdrawalAmount_* | E073/E124/E134; E082</t>
  </si>
  <si>
    <t>Two-row meaning and row key unconfirmed</t>
  </si>
  <si>
    <t>Time Mapping selects supported version and calculation variant.</t>
  </si>
  <si>
    <t>Confirm row selection; retain transition matrix only where actually present.</t>
  </si>
  <si>
    <t>wd_amount_table_key; wd_amount_idx; wd_amount_match_status</t>
  </si>
  <si>
    <t>Read mawa_mult/prob_init and supported transition data.</t>
  </si>
  <si>
    <t>Relevant state/classification or version change.</t>
  </si>
  <si>
    <t>O147 PartWD_WDAmt; correspondence unconfirmed</t>
  </si>
  <si>
    <t>TI13</t>
  </si>
  <si>
    <t>Free withdrawal</t>
  </si>
  <si>
    <t>FreePartialWithdrawal* | E099/E126; E087</t>
  </si>
  <si>
    <t>Qualified/RMD and at_issue row keys to confirm</t>
  </si>
  <si>
    <t>Time Mapping retains separate standard/at_issue definitions.</t>
  </si>
  <si>
    <t>If scalar dataset, no row lookup is needed; otherwise use documented key.</t>
  </si>
  <si>
    <t>free_wd_table_key; free_wd_idx (if needed); free_wd_match_status</t>
  </si>
  <si>
    <t>Read existing schedule; do not infer qualified-status or RMD formulas.</t>
  </si>
  <si>
    <t>Context/version; confirmed state or key changes.</t>
  </si>
  <si>
    <t>O136/O141 are candidate related data</t>
  </si>
  <si>
    <t>TI14</t>
  </si>
  <si>
    <t>ModelAssumptions E091-E098; at_issue E085-E086</t>
  </si>
  <si>
    <t>Controls; issue_year where present; legacy table may be scalar</t>
  </si>
  <si>
    <t>Time Mapping selects mode/variant; standard versioned source still unconfirmed.</t>
  </si>
  <si>
    <t>Use row key only where a row exists; otherwise select parameters/version only.</t>
  </si>
  <si>
    <t>dyn_lapse_table_key; dyn_lapse_idx (if needed); dyn_lapse_match_status</t>
  </si>
  <si>
    <t>Keep ITM and lapse formulas in existing component.</t>
  </si>
  <si>
    <t>Context/variant/key/version change; preserve time-varying formulas.</t>
  </si>
  <si>
    <t>O104 LapseGlobal related; no formula equivalence assumed</t>
  </si>
  <si>
    <t>TI15</t>
  </si>
  <si>
    <t>lapse_skew_2025 | E133</t>
  </si>
  <si>
    <t>Scalar record in draft; 12-entry field</t>
  </si>
  <si>
    <t>Time Mapping identifies approved source; verify factor meaning.</t>
  </si>
  <si>
    <t>Select table only if scalar is confirmed; no invented row key.</t>
  </si>
  <si>
    <t>lapse_skew_table_key; lapse_skew_match_status</t>
  </si>
  <si>
    <t>Read monthly element using confirmed order.</t>
  </si>
  <si>
    <t>Table/version changes; month affects downstream array read.</t>
  </si>
  <si>
    <t>O103; O283 | TableIndex</t>
  </si>
  <si>
    <t>TI16</t>
  </si>
  <si>
    <t>marriage_divorce_rates | E076</t>
  </si>
  <si>
    <t>Scalar dataset with age/rate arrays in draft</t>
  </si>
  <si>
    <t>Select registered approved release; annual replacement not assumed.</t>
  </si>
  <si>
    <t>Select table only if scalar layout is confirmed.</t>
  </si>
  <si>
    <t>marriage_table_key; marriage_match_status</t>
  </si>
  <si>
    <t>Read age arrays using existing rules; retain raw field spelling.</t>
  </si>
  <si>
    <t>Release/context changes; age read remains downstream.</t>
  </si>
  <si>
    <t>O105 same dataset name; semantics to verify</t>
  </si>
  <si>
    <t>TI17</t>
  </si>
  <si>
    <t>Confinement_annual | E078</t>
  </si>
  <si>
    <t>gender candidate; repeated fields are damaged</t>
  </si>
  <si>
    <t>Register IA extension; require trusted field layout before enabling.</t>
  </si>
  <si>
    <t>Confirm gender key and duplicate-field authority.</t>
  </si>
  <si>
    <t>confinement_table_key; confinement_idx; confinement_match_status</t>
  </si>
  <si>
    <t>Read original matrices after source review.</t>
  </si>
  <si>
    <t>Key/release changes; exact timing to confirm.</t>
  </si>
  <si>
    <t>No confirmed CI-table equivalence</t>
  </si>
  <si>
    <t>TI18</t>
  </si>
  <si>
    <t>Premium recapture</t>
  </si>
  <si>
    <t>PremiumEnhancementRecapture | E090</t>
  </si>
  <si>
    <t>Four-record meaning and policy key unconfirmed</t>
  </si>
  <si>
    <t>Explicit approved release.</t>
  </si>
  <si>
    <t>Document current schedule-to-policy rule before lookup.</t>
  </si>
  <si>
    <t>recapture_table_key; recapture_idx; recapture_match_status</t>
  </si>
  <si>
    <t>Read existing recapture schedule and calculation.</t>
  </si>
  <si>
    <t>Confirmed key/release changes.</t>
  </si>
  <si>
    <t>TI19</t>
  </si>
  <si>
    <t>Policy input</t>
  </si>
  <si>
    <t>policies | E023-E045</t>
  </si>
  <si>
    <t>One row per policy; unique ID/product key unconfirmed</t>
  </si>
  <si>
    <t>Source input to TableIndex, not a table of assumption rates.</t>
  </si>
  <si>
    <t>Provide confirmed policy feature IDs and demographics.</t>
  </si>
  <si>
    <t>Typed policy-key inputs; no new policy-row index proposed</t>
  </si>
  <si>
    <t>Keep policy balances and record identity in current data path.</t>
  </si>
  <si>
    <t>Each policy and relevant state update.</t>
  </si>
  <si>
    <t>O036; O213-O219; O338-O343</t>
  </si>
  <si>
    <t>TI20</t>
  </si>
  <si>
    <t>Product / strategy mapping</t>
  </si>
  <si>
    <t>StrategyMap | E110-E112</t>
  </si>
  <si>
    <t>investment_account visible; product key unconfirmed</t>
  </si>
  <si>
    <t>Supporting key lookup only where a migrated assumption requires it.</t>
  </si>
  <si>
    <t>Confirm source keys and election/default order; do not invent product codes.</t>
  </si>
  <si>
    <t>Confirmed product/feature keys supplied to TableIndex</t>
  </si>
  <si>
    <t>Existing strategy calculations retain current data.</t>
  </si>
  <si>
    <t>Relevant mapping/key/release changes.</t>
  </si>
  <si>
    <t>O068/O070/O071; O218/O220; O307-O308</t>
  </si>
  <si>
    <t>TI21</t>
  </si>
  <si>
    <t>Run settings</t>
  </si>
  <si>
    <t>ModelAssumptions; DebugSwitch; AccountingSetting | E091-E109</t>
  </si>
  <si>
    <t>Run mode, date, accounting context, approved override</t>
  </si>
  <si>
    <t>Supply one agreed context to TableIndex and Time Mapping.</t>
  </si>
  <si>
    <t>Separate execution switches from assumption version selection.</t>
  </si>
  <si>
    <t>Typed context inputs; not a rate-table row index</t>
  </si>
  <si>
    <t>Execution controls remain in existing components.</t>
  </si>
  <si>
    <t>Run settings or approved override changes.</t>
  </si>
  <si>
    <t>O056/O058; O210 | basis is not an automatic crosswalk</t>
  </si>
  <si>
    <t>TI22</t>
  </si>
  <si>
    <t>Market / pricing / shocks</t>
  </si>
  <si>
    <t>market_data; historical_npa; cap_and_strike; ReinvestmentPercentage; shocks</t>
  </si>
  <si>
    <t>Outside initial assumption-selector rollout</t>
  </si>
  <si>
    <t>Retain current connections; assess market/pricing separately. Shocks deferred.</t>
  </si>
  <si>
    <t>Do not route all model data through TableIndex just to match file names.</t>
  </si>
  <si>
    <t>No new selector outputs committed in this scope</t>
  </si>
  <si>
    <t>Keep current data and calculations.</t>
  </si>
  <si>
    <t>Not specified in this proposal.</t>
  </si>
  <si>
    <t>Dataset Map / D15-D17</t>
  </si>
  <si>
    <t>IA inputs</t>
  </si>
  <si>
    <t>One record per policy</t>
  </si>
  <si>
    <t>For each assumption table, record where it comes from, which version to use, how to find the right row, and which calculation uses it.</t>
  </si>
  <si>
    <t>What we need to know about each assumption table</t>
  </si>
  <si>
    <t xml:space="preserve">Dataset migration </t>
  </si>
  <si>
    <t>Where should each IA input go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</si>
</sst>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sz val="10"/>
      <color rgb="FF172B4D"/>
      <name val="Arial"/>
    </font>
    <font>
      <b/>
      <sz val="16"/>
      <color rgb="FF243B53"/>
      <name val="Arial"/>
    </font>
    <font>
      <i/>
      <sz val="10"/>
      <color rgb="FF55677B"/>
      <name val="Arial"/>
    </font>
    <font>
      <sz val="11"/>
      <color rgb="FF172B4D"/>
      <name val="Arial"/>
    </font>
    <font>
      <b/>
      <sz val="16"/>
      <color rgb="FF315F8C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172B4D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F2FA"/>
      </patternFill>
    </fill>
    <fill>
      <patternFill patternType="solid">
        <fgColor rgb="FFF2F4F7"/>
      </patternFill>
    </fill>
    <fill>
      <patternFill patternType="solid">
        <fgColor rgb="FF243B53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AF2FA"/>
      </patternFill>
    </fill>
    <fill>
      <patternFill patternType="solid">
        <fgColor rgb="FF243B53"/>
      </patternFill>
    </fill>
    <fill>
      <patternFill patternType="solid">
        <fgColor rgb="FFF2F4F7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D5DDE5"/>
      </bottom>
      <diagonal/>
    </border>
    <border>
      <left style="thin">
        <color rgb="FFD5DDE5"/>
      </left>
      <right/>
      <top style="thin">
        <color rgb="FFD5DDE5"/>
      </top>
      <bottom/>
      <diagonal/>
    </border>
    <border>
      <left/>
      <right/>
      <top style="thin">
        <color rgb="FFD5DDE5"/>
      </top>
      <bottom/>
      <diagonal/>
    </border>
    <border>
      <left/>
      <right style="thin">
        <color rgb="FFD5DDE5"/>
      </right>
      <top style="thin">
        <color rgb="FFD5DDE5"/>
      </top>
      <bottom/>
      <diagonal/>
    </border>
    <border>
      <left style="thin">
        <color rgb="FFD5DDE5"/>
      </left>
      <right/>
      <top/>
      <bottom style="thin">
        <color rgb="FFD5DDE5"/>
      </bottom>
      <diagonal/>
    </border>
    <border>
      <left/>
      <right style="thin">
        <color rgb="FFD5DDE5"/>
      </right>
      <top/>
      <bottom style="thin">
        <color rgb="FFD5DDE5"/>
      </bottom>
      <diagonal/>
    </border>
    <border>
      <left style="thin">
        <color rgb="FFD5DDE5"/>
      </left>
      <right/>
      <top/>
      <bottom/>
      <diagonal/>
    </border>
    <border>
      <left/>
      <right style="thin">
        <color rgb="FFD5DDE5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164" fontId="1" fillId="6" borderId="0" xfId="0" applyNumberFormat="1" applyFont="1" applyFill="1" applyAlignment="1">
      <alignment vertical="top" wrapText="1"/>
    </xf>
    <xf numFmtId="1" fontId="1" fillId="0" borderId="0" xfId="0" applyNumberFormat="1" applyFont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1" fillId="11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5" fillId="0" borderId="0" xfId="0" applyFont="1" applyAlignment="1">
      <alignment horizontal="center" vertical="top"/>
    </xf>
    <xf numFmtId="0" fontId="6" fillId="9" borderId="0" xfId="0" applyFont="1" applyFill="1" applyAlignment="1">
      <alignment horizontal="center" vertical="center" wrapText="1"/>
    </xf>
    <xf numFmtId="0" fontId="0" fillId="8" borderId="0" xfId="0" applyFill="1" applyAlignment="1">
      <alignment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9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10">
    <dxf>
      <font>
        <color rgb="FF8A5A00"/>
      </font>
      <fill>
        <patternFill>
          <bgColor rgb="FFFFF2CC"/>
        </patternFill>
      </fill>
    </dxf>
    <dxf>
      <font>
        <color rgb="FFA61B1B"/>
      </font>
      <fill>
        <patternFill>
          <bgColor rgb="FFFBE5E5"/>
        </patternFill>
      </fill>
    </dxf>
    <dxf>
      <font>
        <color rgb="FF8A5A00"/>
      </font>
      <fill>
        <patternFill>
          <bgColor rgb="FFFFF2CC"/>
        </patternFill>
      </fill>
    </dxf>
    <dxf>
      <font>
        <color rgb="FFA61B1B"/>
      </font>
      <fill>
        <patternFill>
          <bgColor rgb="FFFBE5E5"/>
        </patternFill>
      </fill>
    </dxf>
    <dxf>
      <font>
        <color rgb="FF8A5A00"/>
      </font>
      <fill>
        <patternFill>
          <bgColor rgb="FFFFF2CC"/>
        </patternFill>
      </fill>
    </dxf>
    <dxf>
      <font>
        <color rgb="FFA61B1B"/>
      </font>
      <fill>
        <patternFill>
          <bgColor rgb="FFFBE5E5"/>
        </patternFill>
      </fill>
    </dxf>
    <dxf>
      <font>
        <color rgb="FF8A5A00"/>
      </font>
      <fill>
        <patternFill>
          <bgColor rgb="FFFFF2CC"/>
        </patternFill>
      </fill>
    </dxf>
    <dxf>
      <font>
        <color rgb="FFA61B1B"/>
      </font>
      <fill>
        <patternFill>
          <bgColor rgb="FFFBE5E5"/>
        </patternFill>
      </fill>
    </dxf>
    <dxf>
      <font>
        <color rgb="FF8A5A00"/>
      </font>
      <fill>
        <patternFill>
          <bgColor rgb="FFFFF2CC"/>
        </patternFill>
      </fill>
    </dxf>
    <dxf>
      <font>
        <color rgb="FFA61B1B"/>
      </font>
      <fill>
        <patternFill>
          <bgColor rgb="FFFB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mainDesign" displayName="DomainDesign" ref="A6:K15" totalsRowShown="0">
  <autoFilter ref="A6:K15" xr:uid="{00000000-0009-0000-0100-000001000000}"/>
  <tableColumns count="11">
    <tableColumn id="1" xr3:uid="{00000000-0010-0000-0000-000001000000}" name="ID"/>
    <tableColumn id="2" xr3:uid="{00000000-0010-0000-0000-000002000000}" name="Target domain"/>
    <tableColumn id="3" xr3:uid="{00000000-0010-0000-0000-000003000000}" name="Responsibility"/>
    <tableColumn id="4" xr3:uid="{00000000-0010-0000-0000-000004000000}" name="IA inputs"/>
    <tableColumn id="5" xr3:uid="{00000000-0010-0000-0000-000005000000}" name="Omni reference pattern"/>
    <tableColumn id="6" xr3:uid="{00000000-0010-0000-0000-000006000000}" name="Record / key boundary"/>
    <tableColumn id="7" xr3:uid="{00000000-0010-0000-0000-000007000000}" name="Proposed change"/>
    <tableColumn id="8" xr3:uid="{00000000-0010-0000-0000-000008000000}" name="Boundary to preserve"/>
    <tableColumn id="9" xr3:uid="{00000000-0010-0000-0000-000009000000}" name="Interface expectation"/>
    <tableColumn id="10" xr3:uid="{00000000-0010-0000-0000-00000A000000}" name="Wave"/>
    <tableColumn id="11" xr3:uid="{00000000-0010-0000-0000-00000B000000}" name="Decision ID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chitectureOptions" displayName="ArchitectureOptions" ref="A20:F23" totalsRowShown="0">
  <autoFilter ref="A20:F23" xr:uid="{00000000-0009-0000-0100-000002000000}"/>
  <tableColumns count="6">
    <tableColumn id="1" xr3:uid="{00000000-0010-0000-0100-000001000000}" name="Option"/>
    <tableColumn id="2" xr3:uid="{00000000-0010-0000-0100-000002000000}" name="Change"/>
    <tableColumn id="3" xr3:uid="{00000000-0010-0000-0100-000003000000}" name="Benefit"/>
    <tableColumn id="4" xr3:uid="{00000000-0010-0000-0100-000004000000}" name="Cost / limitation"/>
    <tableColumn id="5" xr3:uid="{00000000-0010-0000-0100-000005000000}" name="Recommendation"/>
    <tableColumn id="6" xr3:uid="{00000000-0010-0000-0100-000006000000}" name="User decis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alogContract" displayName="CatalogContract" ref="A27:F37" totalsRowShown="0">
  <autoFilter ref="A27:F37" xr:uid="{00000000-0009-0000-0100-000003000000}"/>
  <tableColumns count="6">
    <tableColumn id="1" xr3:uid="{00000000-0010-0000-0200-000001000000}" name="ID"/>
    <tableColumn id="2" xr3:uid="{00000000-0010-0000-0200-000002000000}" name="Catalog field"/>
    <tableColumn id="3" xr3:uid="{00000000-0010-0000-0200-000003000000}" name="Meaning"/>
    <tableColumn id="4" xr3:uid="{00000000-0010-0000-0200-000004000000}" name="Constraint / implementation rule"/>
    <tableColumn id="5" xr3:uid="{00000000-0010-0000-0200-000005000000}" name="Example or required evidence"/>
    <tableColumn id="6" xr3:uid="{00000000-0010-0000-0200-000006000000}" name="Owner confirm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3000000}" name="MigrationRegister" displayName="MigrationRegister" ref="A6:M62" totalsRowShown="0">
  <autoFilter ref="A6:M62" xr:uid="{00000000-0009-0000-0100-00000F000000}"/>
  <tableColumns count="13">
    <tableColumn id="1" xr3:uid="{00000000-0010-0000-0300-000001000000}" name="ID"/>
    <tableColumn id="2" xr3:uid="{00000000-0010-0000-0300-000002000000}" name="IA dataset (source name)"/>
    <tableColumn id="3" xr3:uid="{00000000-0010-0000-0300-000003000000}" name="Current datasource"/>
    <tableColumn id="4" xr3:uid="{00000000-0010-0000-0300-000004000000}" name="Proposed target domain"/>
    <tableColumn id="5" xr3:uid="{00000000-0010-0000-0300-000005000000}" name="Omni candidate / source lines"/>
    <tableColumn id="6" xr3:uid="{00000000-0010-0000-0300-000006000000}" name="TableIndex / input action"/>
    <tableColumn id="7" xr3:uid="{00000000-0010-0000-0300-000007000000}" name="Wave"/>
    <tableColumn id="8" xr3:uid="{00000000-0010-0000-0300-000008000000}" name="Preservation / transformation rule"/>
    <tableColumn id="9" xr3:uid="{00000000-0010-0000-0300-000009000000}" name="Decision dependencies"/>
    <tableColumn id="10" xr3:uid="{00000000-0010-0000-0300-00000A000000}" name="ESG XML source lines"/>
    <tableColumn id="11" xr3:uid="{00000000-0010-0000-0300-00000B000000}" name="Review decision"/>
    <tableColumn id="12" xr3:uid="{00000000-0010-0000-0300-00000C000000}" name="Assigned owner"/>
    <tableColumn id="13" xr3:uid="{00000000-0010-0000-0300-00000D000000}" name="User not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4000000}" name="FieldContracts" displayName="FieldContracts" ref="A6:O47" totalsRowShown="0">
  <autoFilter ref="A6:O47" xr:uid="{00000000-0009-0000-0100-000010000000}"/>
  <tableColumns count="15">
    <tableColumn id="1" xr3:uid="{00000000-0010-0000-0400-000001000000}" name="ID"/>
    <tableColumn id="2" xr3:uid="{00000000-0010-0000-0400-000002000000}" name="Input type"/>
    <tableColumn id="3" xr3:uid="{00000000-0010-0000-0400-000003000000}" name="IA field / ESG XML lines"/>
    <tableColumn id="4" xr3:uid="{00000000-0010-0000-0400-000004000000}" name="Omni field / source lines"/>
    <tableColumn id="5" xr3:uid="{00000000-0010-0000-0400-000005000000}" name="Visible declaration (unverified)"/>
    <tableColumn id="6" xr3:uid="{00000000-0010-0000-0400-000006000000}" name="Proposed handling"/>
    <tableColumn id="7" xr3:uid="{00000000-0010-0000-0400-000007000000}" name="Semantic questions to resolve"/>
    <tableColumn id="8" xr3:uid="{00000000-0010-0000-0400-000008000000}" name="Evidence basis"/>
    <tableColumn id="9" xr3:uid="{00000000-0010-0000-0400-000009000000}" name="IA actual dtype"/>
    <tableColumn id="10" xr3:uid="{00000000-0010-0000-0400-00000A000000}" name="IA actual shape"/>
    <tableColumn id="11" xr3:uid="{00000000-0010-0000-0400-00000B000000}" name="Omni actual dtype"/>
    <tableColumn id="12" xr3:uid="{00000000-0010-0000-0400-00000C000000}" name="Omni actual shape"/>
    <tableColumn id="13" xr3:uid="{00000000-0010-0000-0400-00000D000000}" name="Confirmed axes / units / ID rules"/>
    <tableColumn id="14" xr3:uid="{00000000-0010-0000-0400-00000E000000}" name="Verification status"/>
    <tableColumn id="15" xr3:uid="{00000000-0010-0000-0400-00000F000000}" name="User decision / not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imeInterfaceContract" displayName="TimeInterfaceContract" ref="A27:E39" totalsRowShown="0">
  <autoFilter ref="A27:E39" xr:uid="{00000000-0009-0000-0100-000007000000}"/>
  <tableColumns count="5">
    <tableColumn id="1" xr3:uid="{00000000-0010-0000-0500-000001000000}" name="ID"/>
    <tableColumn id="2" xr3:uid="{00000000-0010-0000-0500-000002000000}" name="Contract field"/>
    <tableColumn id="3" xr3:uid="{00000000-0010-0000-0500-000003000000}" name="Role"/>
    <tableColumn id="4" xr3:uid="{00000000-0010-0000-0500-000004000000}" name="Proposed definition"/>
    <tableColumn id="5" xr3:uid="{00000000-0010-0000-0500-000005000000}" name="Validation / preservation rul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6000000}" name="TimeFamilyRegister" displayName="TimeFamilyRegister" ref="A6:O23" totalsRowShown="0">
  <autoFilter ref="A6:O23" xr:uid="{00000000-0009-0000-0100-000011000000}"/>
  <tableColumns count="15">
    <tableColumn id="1" xr3:uid="{00000000-0010-0000-0600-000001000000}" name="ID"/>
    <tableColumn id="2" xr3:uid="{00000000-0010-0000-0600-000002000000}" name="Input type"/>
    <tableColumn id="3" xr3:uid="{00000000-0010-0000-0600-000003000000}" name="Run mode"/>
    <tableColumn id="4" xr3:uid="{00000000-0010-0000-0600-000004000000}" name="Domain"/>
    <tableColumn id="5" xr3:uid="{00000000-0010-0000-0600-000005000000}" name="Visible source candidates"/>
    <tableColumn id="6" xr3:uid="{00000000-0010-0000-0600-000006000000}" name="Version rule used by TableIndex"/>
    <tableColumn id="7" xr3:uid="{00000000-0010-0000-0600-000007000000}" name="Data kept for calculation"/>
    <tableColumn id="8" xr3:uid="{00000000-0010-0000-0600-000008000000}" name="Source lines / confirmation"/>
    <tableColumn id="9" xr3:uid="{00000000-0010-0000-0600-000009000000}" name="Decision dependencies"/>
    <tableColumn id="10" xr3:uid="{00000000-0010-0000-0600-00000A000000}" name="Selected table / version"/>
    <tableColumn id="11" xr3:uid="{00000000-0010-0000-0600-00000B000000}" name="Selection date basis"/>
    <tableColumn id="12" xr3:uid="{00000000-0010-0000-0600-00000C000000}" name="Effective from"/>
    <tableColumn id="13" xr3:uid="{00000000-0010-0000-0600-00000D000000}" name="Effective to"/>
    <tableColumn id="14" xr3:uid="{00000000-0010-0000-0600-00000E000000}" name="Review status"/>
    <tableColumn id="15" xr3:uid="{00000000-0010-0000-0600-00000F000000}" name="User note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liveryTasks" displayName="DeliveryTasks" ref="A6:N20" totalsRowShown="0">
  <autoFilter ref="A6:N20" xr:uid="{00000000-0009-0000-0100-000008000000}"/>
  <tableColumns count="14">
    <tableColumn id="1" xr3:uid="{00000000-0010-0000-0700-000001000000}" name="ID"/>
    <tableColumn id="2" xr3:uid="{00000000-0010-0000-0700-000002000000}" name="Phase"/>
    <tableColumn id="3" xr3:uid="{00000000-0010-0000-0700-000003000000}" name="Work package"/>
    <tableColumn id="4" xr3:uid="{00000000-0010-0000-0700-000004000000}" name="Execution steps"/>
    <tableColumn id="5" xr3:uid="{00000000-0010-0000-0700-000005000000}" name="Predecessors"/>
    <tableColumn id="6" xr3:uid="{00000000-0010-0000-0700-000006000000}" name="Exit / acceptance criteria"/>
    <tableColumn id="7" xr3:uid="{00000000-0010-0000-0700-000007000000}" name="Rollback / preservation"/>
    <tableColumn id="8" xr3:uid="{00000000-0010-0000-0700-000008000000}" name="Suggested role"/>
    <tableColumn id="9" xr3:uid="{00000000-0010-0000-0700-000009000000}" name="Decision dependencies"/>
    <tableColumn id="10" xr3:uid="{00000000-0010-0000-0700-00000A000000}" name="Assigned owner"/>
    <tableColumn id="11" xr3:uid="{00000000-0010-0000-0700-00000B000000}" name="Target date"/>
    <tableColumn id="12" xr3:uid="{00000000-0010-0000-0700-00000C000000}" name="Status"/>
    <tableColumn id="13" xr3:uid="{00000000-0010-0000-0700-00000D000000}" name="Completion evidence / notes"/>
    <tableColumn id="14" xr3:uid="{00000000-0010-0000-0700-00000E000000}" name="Recording check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cceptanceCases" displayName="AcceptanceCases" ref="A6:M30" totalsRowShown="0">
  <autoFilter ref="A6:M30" xr:uid="{00000000-0009-0000-0100-000009000000}"/>
  <tableColumns count="13">
    <tableColumn id="1" xr3:uid="{00000000-0010-0000-0800-000001000000}" name="ID"/>
    <tableColumn id="2" xr3:uid="{00000000-0010-0000-0800-000002000000}" name="Area"/>
    <tableColumn id="3" xr3:uid="{00000000-0010-0000-0800-000003000000}" name="Required fixture"/>
    <tableColumn id="4" xr3:uid="{00000000-0010-0000-0800-000004000000}" name="Procedure"/>
    <tableColumn id="5" xr3:uid="{00000000-0010-0000-0800-000005000000}" name="Expected behavior"/>
    <tableColumn id="6" xr3:uid="{00000000-0010-0000-0800-000006000000}" name="Comparison / tolerance rule"/>
    <tableColumn id="7" xr3:uid="{00000000-0010-0000-0800-000007000000}" name="Decision dependencies"/>
    <tableColumn id="8" xr3:uid="{00000000-0010-0000-0800-000008000000}" name="Execution status"/>
    <tableColumn id="9" xr3:uid="{00000000-0010-0000-0800-000009000000}" name="Observed result"/>
    <tableColumn id="10" xr3:uid="{00000000-0010-0000-0800-00000A000000}" name="Evidence reference"/>
    <tableColumn id="11" xr3:uid="{00000000-0010-0000-0800-00000B000000}" name="Executed by"/>
    <tableColumn id="12" xr3:uid="{00000000-0010-0000-0800-00000C000000}" name="User notes"/>
    <tableColumn id="13" xr3:uid="{00000000-0010-0000-0800-00000D000000}" name="Recording chec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ecisionRegister" displayName="DecisionRegister" ref="A6:K32" totalsRowShown="0">
  <autoFilter ref="A6:K32" xr:uid="{00000000-0009-0000-0100-00000A000000}"/>
  <tableColumns count="11">
    <tableColumn id="1" xr3:uid="{00000000-0010-0000-0900-000001000000}" name="ID"/>
    <tableColumn id="2" xr3:uid="{00000000-0010-0000-0900-000002000000}" name="Needed by"/>
    <tableColumn id="3" xr3:uid="{00000000-0010-0000-0900-000003000000}" name="Decision topic"/>
    <tableColumn id="4" xr3:uid="{00000000-0010-0000-0900-000004000000}" name="Observed fact / limitation"/>
    <tableColumn id="5" xr3:uid="{00000000-0010-0000-0900-000005000000}" name="Proposed default"/>
    <tableColumn id="6" xr3:uid="{00000000-0010-0000-0900-000006000000}" name="Question to resolve"/>
    <tableColumn id="7" xr3:uid="{00000000-0010-0000-0900-000007000000}" name="Evidence basis"/>
    <tableColumn id="8" xr3:uid="{00000000-0010-0000-0900-000008000000}" name="Affected scope"/>
    <tableColumn id="9" xr3:uid="{00000000-0010-0000-0900-000009000000}" name="Assigned owner"/>
    <tableColumn id="10" xr3:uid="{00000000-0010-0000-0900-00000A000000}" name="Status"/>
    <tableColumn id="11" xr3:uid="{00000000-0010-0000-0900-00000B000000}" name="Resolution / supporting evidenc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Evidence" displayName="SourceEvidence" ref="A8:I146" totalsRowShown="0">
  <autoFilter ref="A8:I146" xr:uid="{00000000-0009-0000-0100-00000B000000}"/>
  <tableColumns count="9">
    <tableColumn id="1" xr3:uid="{00000000-0010-0000-0A00-000001000000}" name="Line reference"/>
    <tableColumn id="2" xr3:uid="{00000000-0010-0000-0A00-000002000000}" name="Model"/>
    <tableColumn id="3" xr3:uid="{00000000-0010-0000-0A00-000003000000}" name="Datasource (raw)"/>
    <tableColumn id="4" xr3:uid="{00000000-0010-0000-0A00-000004000000}" name="Dataset (raw)"/>
    <tableColumn id="5" xr3:uid="{00000000-0010-0000-0A00-000005000000}" name="Start line"/>
    <tableColumn id="6" xr3:uid="{00000000-0010-0000-0A00-000006000000}" name="End line"/>
    <tableColumn id="7" xr3:uid="{00000000-0010-0000-0A00-000007000000}" name="Evidence condition"/>
    <tableColumn id="8" xr3:uid="{00000000-0010-0000-0A00-000008000000}" name="Raw declaration excerpt"/>
    <tableColumn id="9" xr3:uid="{00000000-0010-0000-0A00-000009000000}" name="User source correction / note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UserConfirmations" displayName="UserConfirmations" ref="A150:C158" totalsRowShown="0">
  <autoFilter ref="A150:C158" xr:uid="{00000000-0009-0000-0100-00000C000000}"/>
  <tableColumns count="3">
    <tableColumn id="1" xr3:uid="{00000000-0010-0000-0B00-000001000000}" name="ID"/>
    <tableColumn id="2" xr3:uid="{00000000-0010-0000-0B00-000002000000}" name="Evidence type"/>
    <tableColumn id="3" xr3:uid="{00000000-0010-0000-0B00-000003000000}" name="User-confirmed requirement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SelectorEvidence" displayName="SelectorEvidence" ref="A172:I177" totalsRowShown="0">
  <autoFilter ref="A172:I177" xr:uid="{00000000-0009-0000-0100-00000E000000}"/>
  <tableColumns count="9">
    <tableColumn id="1" xr3:uid="{00000000-0010-0000-0C00-000001000000}" name="Ref"/>
    <tableColumn id="2" xr3:uid="{00000000-0010-0000-0C00-000002000000}" name="Model"/>
    <tableColumn id="3" xr3:uid="{00000000-0010-0000-0C00-000003000000}" name="Source location"/>
    <tableColumn id="4" xr3:uid="{00000000-0010-0000-0C00-000004000000}" name="Visible interface / proposal"/>
    <tableColumn id="5" xr3:uid="{00000000-0010-0000-0C00-000005000000}" name="Start line"/>
    <tableColumn id="6" xr3:uid="{00000000-0010-0000-0C00-000006000000}" name="End line"/>
    <tableColumn id="7" xr3:uid="{00000000-0010-0000-0C00-000007000000}" name="Evidence level"/>
    <tableColumn id="8" xr3:uid="{00000000-0010-0000-0C00-000008000000}" name="Meaning for IA design"/>
    <tableColumn id="9" xr3:uid="{00000000-0010-0000-0C00-000009000000}" name="Limit / review not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SelectorLookupRegister" displayName="SelectorLookupRegister" ref="A6:O28" totalsRowShown="0">
  <autoFilter ref="A6:O28" xr:uid="{00000000-0009-0000-0100-00000D000000}"/>
  <tableColumns count="15">
    <tableColumn id="1" xr3:uid="{00000000-0010-0000-0D00-000001000000}" name="ID"/>
    <tableColumn id="2" xr3:uid="{00000000-0010-0000-0D00-000002000000}" name="Input type"/>
    <tableColumn id="3" xr3:uid="{00000000-0010-0000-0D00-000003000000}" name="Input table / source lines"/>
    <tableColumn id="4" xr3:uid="{00000000-0010-0000-0D00-000004000000}" name="Policy or run keys to confirm"/>
    <tableColumn id="5" xr3:uid="{00000000-0010-0000-0D00-000005000000}" name="Table/version choice"/>
    <tableColumn id="6" xr3:uid="{00000000-0010-0000-0D00-000006000000}" name="Row-matching rule"/>
    <tableColumn id="7" xr3:uid="{00000000-0010-0000-0D00-000007000000}" name="Proposed TableIndex outputs"/>
    <tableColumn id="8" xr3:uid="{00000000-0010-0000-0D00-000008000000}" name="What downstream code does"/>
    <tableColumn id="9" xr3:uid="{00000000-0010-0000-0D00-000009000000}" name="When to select again"/>
    <tableColumn id="10" xr3:uid="{00000000-0010-0000-0D00-00000A000000}" name="Omni evidence / limit"/>
    <tableColumn id="11" xr3:uid="{00000000-0010-0000-0D00-00000B000000}" name="Exact IA input expression"/>
    <tableColumn id="12" xr3:uid="{00000000-0010-0000-0D00-00000C000000}" name="Destination component / library"/>
    <tableColumn id="13" xr3:uid="{00000000-0010-0000-0D00-00000D000000}" name="Destination parameter / dependence"/>
    <tableColumn id="14" xr3:uid="{00000000-0010-0000-0D00-00000E000000}" name="Review status"/>
    <tableColumn id="15" xr3:uid="{00000000-0010-0000-0D00-00000F000000}" name="Owner decision / 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K48"/>
  <sheetViews>
    <sheetView showGridLines="0" topLeftCell="A6" workbookViewId="0">
      <selection activeCell="A40" sqref="A40:C41"/>
    </sheetView>
  </sheetViews>
  <sheetFormatPr defaultRowHeight="14.25"/>
  <cols>
    <col min="1" max="11" width="13" customWidth="1"/>
  </cols>
  <sheetData>
    <row r="1" spans="1:1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2" t="s">
        <v>580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3.1" customHeight="1">
      <c r="A4" s="4" t="s">
        <v>581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20" t="s">
        <v>582</v>
      </c>
      <c r="B6" s="21" t="s">
        <v>582</v>
      </c>
      <c r="C6" s="21" t="s">
        <v>582</v>
      </c>
      <c r="D6" s="21" t="s">
        <v>582</v>
      </c>
      <c r="E6" s="21" t="s">
        <v>582</v>
      </c>
      <c r="F6" s="21" t="s">
        <v>582</v>
      </c>
      <c r="G6" s="21" t="s">
        <v>582</v>
      </c>
      <c r="H6" s="21" t="s">
        <v>582</v>
      </c>
      <c r="I6" s="21" t="s">
        <v>582</v>
      </c>
      <c r="J6" s="21" t="s">
        <v>582</v>
      </c>
      <c r="K6" s="22" t="s">
        <v>582</v>
      </c>
    </row>
    <row r="7" spans="1:11">
      <c r="A7" s="26" t="s">
        <v>582</v>
      </c>
      <c r="B7" s="27" t="s">
        <v>582</v>
      </c>
      <c r="C7" s="27" t="s">
        <v>582</v>
      </c>
      <c r="D7" s="27" t="s">
        <v>582</v>
      </c>
      <c r="E7" s="27" t="s">
        <v>582</v>
      </c>
      <c r="F7" s="27" t="s">
        <v>582</v>
      </c>
      <c r="G7" s="27" t="s">
        <v>582</v>
      </c>
      <c r="H7" s="27" t="s">
        <v>582</v>
      </c>
      <c r="I7" s="27" t="s">
        <v>582</v>
      </c>
      <c r="J7" s="27" t="s">
        <v>582</v>
      </c>
      <c r="K7" s="28" t="s">
        <v>582</v>
      </c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3.1" customHeight="1">
      <c r="A9" s="45" t="s">
        <v>583</v>
      </c>
      <c r="B9" s="46" t="s">
        <v>583</v>
      </c>
      <c r="C9" s="47" t="s">
        <v>583</v>
      </c>
      <c r="D9" s="1"/>
      <c r="E9" s="54" t="s">
        <v>584</v>
      </c>
      <c r="F9" s="55" t="s">
        <v>584</v>
      </c>
      <c r="G9" s="56" t="s">
        <v>584</v>
      </c>
      <c r="H9" s="1"/>
      <c r="I9" s="35" t="s">
        <v>585</v>
      </c>
      <c r="J9" s="36" t="s">
        <v>585</v>
      </c>
      <c r="K9" s="37" t="s">
        <v>585</v>
      </c>
    </row>
    <row r="10" spans="1:11" ht="23.1" customHeight="1">
      <c r="A10" s="48" t="s">
        <v>583</v>
      </c>
      <c r="B10" s="49" t="s">
        <v>583</v>
      </c>
      <c r="C10" s="50" t="s">
        <v>583</v>
      </c>
      <c r="D10" s="5" t="s">
        <v>586</v>
      </c>
      <c r="E10" s="57" t="s">
        <v>584</v>
      </c>
      <c r="F10" s="58" t="s">
        <v>584</v>
      </c>
      <c r="G10" s="59" t="s">
        <v>584</v>
      </c>
      <c r="H10" s="5" t="s">
        <v>586</v>
      </c>
      <c r="I10" s="63" t="s">
        <v>585</v>
      </c>
      <c r="J10" s="64" t="s">
        <v>585</v>
      </c>
      <c r="K10" s="65" t="s">
        <v>585</v>
      </c>
    </row>
    <row r="11" spans="1:11" ht="23.1" customHeight="1">
      <c r="A11" s="48" t="s">
        <v>583</v>
      </c>
      <c r="B11" s="49" t="s">
        <v>583</v>
      </c>
      <c r="C11" s="50" t="s">
        <v>583</v>
      </c>
      <c r="D11" s="1"/>
      <c r="E11" s="57" t="s">
        <v>584</v>
      </c>
      <c r="F11" s="58" t="s">
        <v>584</v>
      </c>
      <c r="G11" s="59" t="s">
        <v>584</v>
      </c>
      <c r="H11" s="1"/>
      <c r="I11" s="63" t="s">
        <v>585</v>
      </c>
      <c r="J11" s="64" t="s">
        <v>585</v>
      </c>
      <c r="K11" s="65" t="s">
        <v>585</v>
      </c>
    </row>
    <row r="12" spans="1:11" ht="23.1" customHeight="1">
      <c r="A12" s="51" t="s">
        <v>583</v>
      </c>
      <c r="B12" s="52" t="s">
        <v>583</v>
      </c>
      <c r="C12" s="53" t="s">
        <v>583</v>
      </c>
      <c r="D12" s="1"/>
      <c r="E12" s="60" t="s">
        <v>584</v>
      </c>
      <c r="F12" s="61" t="s">
        <v>584</v>
      </c>
      <c r="G12" s="62" t="s">
        <v>584</v>
      </c>
      <c r="H12" s="1"/>
      <c r="I12" s="38" t="s">
        <v>585</v>
      </c>
      <c r="J12" s="39" t="s">
        <v>585</v>
      </c>
      <c r="K12" s="40" t="s">
        <v>585</v>
      </c>
    </row>
    <row r="13" spans="1:11" ht="23.1" customHeight="1">
      <c r="A13" s="1"/>
      <c r="B13" s="1"/>
      <c r="C13" s="1"/>
      <c r="D13" s="1"/>
      <c r="E13" s="1"/>
      <c r="F13" s="5" t="s">
        <v>587</v>
      </c>
      <c r="G13" s="1"/>
      <c r="H13" s="1"/>
      <c r="I13" s="1"/>
      <c r="J13" s="5" t="s">
        <v>588</v>
      </c>
      <c r="K13" s="1"/>
    </row>
    <row r="14" spans="1:11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3.1" customHeight="1">
      <c r="A15" s="45" t="s">
        <v>589</v>
      </c>
      <c r="B15" s="46" t="s">
        <v>589</v>
      </c>
      <c r="C15" s="47" t="s">
        <v>589</v>
      </c>
      <c r="D15" s="1"/>
      <c r="E15" s="45" t="s">
        <v>590</v>
      </c>
      <c r="F15" s="46" t="s">
        <v>590</v>
      </c>
      <c r="G15" s="47" t="s">
        <v>590</v>
      </c>
      <c r="H15" s="1"/>
      <c r="I15" s="45" t="s">
        <v>591</v>
      </c>
      <c r="J15" s="46" t="s">
        <v>591</v>
      </c>
      <c r="K15" s="47" t="s">
        <v>591</v>
      </c>
    </row>
    <row r="16" spans="1:11" ht="23.1" customHeight="1">
      <c r="A16" s="48" t="s">
        <v>589</v>
      </c>
      <c r="B16" s="49" t="s">
        <v>589</v>
      </c>
      <c r="C16" s="50" t="s">
        <v>589</v>
      </c>
      <c r="D16" s="5" t="s">
        <v>586</v>
      </c>
      <c r="E16" s="48" t="s">
        <v>590</v>
      </c>
      <c r="F16" s="49" t="s">
        <v>590</v>
      </c>
      <c r="G16" s="50" t="s">
        <v>590</v>
      </c>
      <c r="H16" s="5"/>
      <c r="I16" s="48" t="s">
        <v>591</v>
      </c>
      <c r="J16" s="49" t="s">
        <v>591</v>
      </c>
      <c r="K16" s="50" t="s">
        <v>591</v>
      </c>
    </row>
    <row r="17" spans="1:11" ht="23.1" customHeight="1">
      <c r="A17" s="48" t="s">
        <v>589</v>
      </c>
      <c r="B17" s="49" t="s">
        <v>589</v>
      </c>
      <c r="C17" s="50" t="s">
        <v>589</v>
      </c>
      <c r="D17" s="1"/>
      <c r="E17" s="48" t="s">
        <v>590</v>
      </c>
      <c r="F17" s="49" t="s">
        <v>590</v>
      </c>
      <c r="G17" s="50" t="s">
        <v>590</v>
      </c>
      <c r="H17" s="1"/>
      <c r="I17" s="48" t="s">
        <v>591</v>
      </c>
      <c r="J17" s="49" t="s">
        <v>591</v>
      </c>
      <c r="K17" s="50" t="s">
        <v>591</v>
      </c>
    </row>
    <row r="18" spans="1:11" ht="23.1" customHeight="1">
      <c r="A18" s="51" t="s">
        <v>589</v>
      </c>
      <c r="B18" s="52" t="s">
        <v>589</v>
      </c>
      <c r="C18" s="53" t="s">
        <v>589</v>
      </c>
      <c r="D18" s="1"/>
      <c r="E18" s="51" t="s">
        <v>590</v>
      </c>
      <c r="F18" s="52" t="s">
        <v>590</v>
      </c>
      <c r="G18" s="53" t="s">
        <v>590</v>
      </c>
      <c r="H18" s="1"/>
      <c r="I18" s="51" t="s">
        <v>591</v>
      </c>
      <c r="J18" s="52" t="s">
        <v>591</v>
      </c>
      <c r="K18" s="53" t="s">
        <v>591</v>
      </c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3.1" customHeight="1">
      <c r="A20" s="4" t="s">
        <v>592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3.1" customHeight="1">
      <c r="A22" s="44" t="s">
        <v>593</v>
      </c>
      <c r="B22" s="44" t="s">
        <v>593</v>
      </c>
      <c r="C22" s="44" t="s">
        <v>593</v>
      </c>
      <c r="D22" s="44" t="s">
        <v>8</v>
      </c>
      <c r="E22" s="44" t="s">
        <v>8</v>
      </c>
      <c r="F22" s="44" t="s">
        <v>8</v>
      </c>
      <c r="G22" s="44" t="s">
        <v>8</v>
      </c>
      <c r="H22" s="44" t="s">
        <v>594</v>
      </c>
      <c r="I22" s="44" t="s">
        <v>594</v>
      </c>
      <c r="J22" s="44" t="s">
        <v>594</v>
      </c>
      <c r="K22" s="44" t="s">
        <v>594</v>
      </c>
    </row>
    <row r="23" spans="1:11" ht="23.1" customHeight="1">
      <c r="A23" s="44" t="s">
        <v>593</v>
      </c>
      <c r="B23" s="44" t="s">
        <v>593</v>
      </c>
      <c r="C23" s="44" t="s">
        <v>593</v>
      </c>
      <c r="D23" s="44" t="s">
        <v>8</v>
      </c>
      <c r="E23" s="44" t="s">
        <v>8</v>
      </c>
      <c r="F23" s="44" t="s">
        <v>8</v>
      </c>
      <c r="G23" s="44" t="s">
        <v>8</v>
      </c>
      <c r="H23" s="44" t="s">
        <v>594</v>
      </c>
      <c r="I23" s="44" t="s">
        <v>594</v>
      </c>
      <c r="J23" s="44" t="s">
        <v>594</v>
      </c>
      <c r="K23" s="44" t="s">
        <v>594</v>
      </c>
    </row>
    <row r="24" spans="1:11" ht="23.1" customHeight="1">
      <c r="A24" s="43" t="s">
        <v>595</v>
      </c>
      <c r="B24" s="43" t="s">
        <v>595</v>
      </c>
      <c r="C24" s="43" t="s">
        <v>595</v>
      </c>
      <c r="D24" s="43" t="s">
        <v>596</v>
      </c>
      <c r="E24" s="43" t="s">
        <v>596</v>
      </c>
      <c r="F24" s="43" t="s">
        <v>596</v>
      </c>
      <c r="G24" s="43" t="s">
        <v>596</v>
      </c>
      <c r="H24" s="43" t="s">
        <v>597</v>
      </c>
      <c r="I24" s="43" t="s">
        <v>597</v>
      </c>
      <c r="J24" s="43" t="s">
        <v>597</v>
      </c>
      <c r="K24" s="43" t="s">
        <v>597</v>
      </c>
    </row>
    <row r="25" spans="1:11" ht="23.1" customHeight="1">
      <c r="A25" s="43" t="s">
        <v>595</v>
      </c>
      <c r="B25" s="43" t="s">
        <v>595</v>
      </c>
      <c r="C25" s="43" t="s">
        <v>595</v>
      </c>
      <c r="D25" s="43" t="s">
        <v>596</v>
      </c>
      <c r="E25" s="43" t="s">
        <v>596</v>
      </c>
      <c r="F25" s="43" t="s">
        <v>596</v>
      </c>
      <c r="G25" s="43" t="s">
        <v>596</v>
      </c>
      <c r="H25" s="43" t="s">
        <v>597</v>
      </c>
      <c r="I25" s="43" t="s">
        <v>597</v>
      </c>
      <c r="J25" s="43" t="s">
        <v>597</v>
      </c>
      <c r="K25" s="43" t="s">
        <v>597</v>
      </c>
    </row>
    <row r="26" spans="1:11" ht="23.1" customHeight="1">
      <c r="A26" s="42" t="s">
        <v>598</v>
      </c>
      <c r="B26" s="42" t="s">
        <v>598</v>
      </c>
      <c r="C26" s="42" t="s">
        <v>598</v>
      </c>
      <c r="D26" s="42" t="s">
        <v>599</v>
      </c>
      <c r="E26" s="42" t="s">
        <v>599</v>
      </c>
      <c r="F26" s="42" t="s">
        <v>599</v>
      </c>
      <c r="G26" s="42" t="s">
        <v>599</v>
      </c>
      <c r="H26" s="42" t="s">
        <v>600</v>
      </c>
      <c r="I26" s="42" t="s">
        <v>600</v>
      </c>
      <c r="J26" s="42" t="s">
        <v>600</v>
      </c>
      <c r="K26" s="42" t="s">
        <v>600</v>
      </c>
    </row>
    <row r="27" spans="1:11" ht="23.1" customHeight="1">
      <c r="A27" s="42" t="s">
        <v>598</v>
      </c>
      <c r="B27" s="42" t="s">
        <v>598</v>
      </c>
      <c r="C27" s="42" t="s">
        <v>598</v>
      </c>
      <c r="D27" s="42" t="s">
        <v>599</v>
      </c>
      <c r="E27" s="42" t="s">
        <v>599</v>
      </c>
      <c r="F27" s="42" t="s">
        <v>599</v>
      </c>
      <c r="G27" s="42" t="s">
        <v>599</v>
      </c>
      <c r="H27" s="42" t="s">
        <v>600</v>
      </c>
      <c r="I27" s="42" t="s">
        <v>600</v>
      </c>
      <c r="J27" s="42" t="s">
        <v>600</v>
      </c>
      <c r="K27" s="42" t="s">
        <v>600</v>
      </c>
    </row>
    <row r="28" spans="1:11" ht="23.1" customHeight="1">
      <c r="A28" s="43" t="s">
        <v>601</v>
      </c>
      <c r="B28" s="43" t="s">
        <v>601</v>
      </c>
      <c r="C28" s="43" t="s">
        <v>601</v>
      </c>
      <c r="D28" s="43" t="s">
        <v>602</v>
      </c>
      <c r="E28" s="43" t="s">
        <v>602</v>
      </c>
      <c r="F28" s="43" t="s">
        <v>602</v>
      </c>
      <c r="G28" s="43" t="s">
        <v>602</v>
      </c>
      <c r="H28" s="43" t="s">
        <v>603</v>
      </c>
      <c r="I28" s="43" t="s">
        <v>603</v>
      </c>
      <c r="J28" s="43" t="s">
        <v>603</v>
      </c>
      <c r="K28" s="43" t="s">
        <v>603</v>
      </c>
    </row>
    <row r="29" spans="1:11" ht="23.1" customHeight="1">
      <c r="A29" s="43" t="s">
        <v>601</v>
      </c>
      <c r="B29" s="43" t="s">
        <v>601</v>
      </c>
      <c r="C29" s="43" t="s">
        <v>601</v>
      </c>
      <c r="D29" s="43" t="s">
        <v>602</v>
      </c>
      <c r="E29" s="43" t="s">
        <v>602</v>
      </c>
      <c r="F29" s="43" t="s">
        <v>602</v>
      </c>
      <c r="G29" s="43" t="s">
        <v>602</v>
      </c>
      <c r="H29" s="43" t="s">
        <v>603</v>
      </c>
      <c r="I29" s="43" t="s">
        <v>603</v>
      </c>
      <c r="J29" s="43" t="s">
        <v>603</v>
      </c>
      <c r="K29" s="43" t="s">
        <v>603</v>
      </c>
    </row>
    <row r="30" spans="1:11" ht="23.1" customHeight="1">
      <c r="A30" s="42" t="s">
        <v>604</v>
      </c>
      <c r="B30" s="42" t="s">
        <v>604</v>
      </c>
      <c r="C30" s="42" t="s">
        <v>604</v>
      </c>
      <c r="D30" s="42" t="s">
        <v>605</v>
      </c>
      <c r="E30" s="42" t="s">
        <v>605</v>
      </c>
      <c r="F30" s="42" t="s">
        <v>605</v>
      </c>
      <c r="G30" s="42" t="s">
        <v>605</v>
      </c>
      <c r="H30" s="42" t="s">
        <v>606</v>
      </c>
      <c r="I30" s="42" t="s">
        <v>606</v>
      </c>
      <c r="J30" s="42" t="s">
        <v>606</v>
      </c>
      <c r="K30" s="42" t="s">
        <v>606</v>
      </c>
    </row>
    <row r="31" spans="1:11" ht="23.1" customHeight="1">
      <c r="A31" s="42" t="s">
        <v>604</v>
      </c>
      <c r="B31" s="42" t="s">
        <v>604</v>
      </c>
      <c r="C31" s="42" t="s">
        <v>604</v>
      </c>
      <c r="D31" s="42" t="s">
        <v>605</v>
      </c>
      <c r="E31" s="42" t="s">
        <v>605</v>
      </c>
      <c r="F31" s="42" t="s">
        <v>605</v>
      </c>
      <c r="G31" s="42" t="s">
        <v>605</v>
      </c>
      <c r="H31" s="42" t="s">
        <v>606</v>
      </c>
      <c r="I31" s="42" t="s">
        <v>606</v>
      </c>
      <c r="J31" s="42" t="s">
        <v>606</v>
      </c>
      <c r="K31" s="42" t="s">
        <v>606</v>
      </c>
    </row>
    <row r="32" spans="1:11" ht="23.1" customHeight="1">
      <c r="A32" s="43" t="s">
        <v>607</v>
      </c>
      <c r="B32" s="43" t="s">
        <v>607</v>
      </c>
      <c r="C32" s="43" t="s">
        <v>607</v>
      </c>
      <c r="D32" s="43" t="s">
        <v>608</v>
      </c>
      <c r="E32" s="43" t="s">
        <v>608</v>
      </c>
      <c r="F32" s="43" t="s">
        <v>608</v>
      </c>
      <c r="G32" s="43" t="s">
        <v>608</v>
      </c>
      <c r="H32" s="43" t="s">
        <v>609</v>
      </c>
      <c r="I32" s="43" t="s">
        <v>609</v>
      </c>
      <c r="J32" s="43" t="s">
        <v>609</v>
      </c>
      <c r="K32" s="43" t="s">
        <v>609</v>
      </c>
    </row>
    <row r="33" spans="1:11" ht="23.1" customHeight="1">
      <c r="A33" s="43" t="s">
        <v>607</v>
      </c>
      <c r="B33" s="43" t="s">
        <v>607</v>
      </c>
      <c r="C33" s="43" t="s">
        <v>607</v>
      </c>
      <c r="D33" s="43" t="s">
        <v>608</v>
      </c>
      <c r="E33" s="43" t="s">
        <v>608</v>
      </c>
      <c r="F33" s="43" t="s">
        <v>608</v>
      </c>
      <c r="G33" s="43" t="s">
        <v>608</v>
      </c>
      <c r="H33" s="43" t="s">
        <v>609</v>
      </c>
      <c r="I33" s="43" t="s">
        <v>609</v>
      </c>
      <c r="J33" s="43" t="s">
        <v>609</v>
      </c>
      <c r="K33" s="43" t="s">
        <v>609</v>
      </c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20" t="s">
        <v>610</v>
      </c>
      <c r="B35" s="21" t="s">
        <v>610</v>
      </c>
      <c r="C35" s="21" t="s">
        <v>610</v>
      </c>
      <c r="D35" s="21" t="s">
        <v>610</v>
      </c>
      <c r="E35" s="21" t="s">
        <v>610</v>
      </c>
      <c r="F35" s="21" t="s">
        <v>610</v>
      </c>
      <c r="G35" s="21" t="s">
        <v>610</v>
      </c>
      <c r="H35" s="21" t="s">
        <v>610</v>
      </c>
      <c r="I35" s="21" t="s">
        <v>610</v>
      </c>
      <c r="J35" s="21" t="s">
        <v>610</v>
      </c>
      <c r="K35" s="22" t="s">
        <v>610</v>
      </c>
    </row>
    <row r="36" spans="1:11">
      <c r="A36" s="26" t="s">
        <v>610</v>
      </c>
      <c r="B36" s="27" t="s">
        <v>610</v>
      </c>
      <c r="C36" s="27" t="s">
        <v>610</v>
      </c>
      <c r="D36" s="27" t="s">
        <v>610</v>
      </c>
      <c r="E36" s="27" t="s">
        <v>610</v>
      </c>
      <c r="F36" s="27" t="s">
        <v>610</v>
      </c>
      <c r="G36" s="27" t="s">
        <v>610</v>
      </c>
      <c r="H36" s="27" t="s">
        <v>610</v>
      </c>
      <c r="I36" s="27" t="s">
        <v>610</v>
      </c>
      <c r="J36" s="27" t="s">
        <v>610</v>
      </c>
      <c r="K36" s="28" t="s">
        <v>610</v>
      </c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29" t="s">
        <v>0</v>
      </c>
      <c r="B38" s="30" t="s">
        <v>1</v>
      </c>
      <c r="C38" s="31" t="s">
        <v>1</v>
      </c>
      <c r="D38" s="1"/>
      <c r="E38" s="35" t="s">
        <v>611</v>
      </c>
      <c r="F38" s="36" t="s">
        <v>611</v>
      </c>
      <c r="G38" s="37" t="s">
        <v>611</v>
      </c>
      <c r="H38" s="1"/>
      <c r="I38" s="29" t="s">
        <v>2</v>
      </c>
      <c r="J38" s="30" t="s">
        <v>2</v>
      </c>
      <c r="K38" s="31" t="s">
        <v>2</v>
      </c>
    </row>
    <row r="39" spans="1:11">
      <c r="A39" s="32" t="s">
        <v>1</v>
      </c>
      <c r="B39" s="33" t="s">
        <v>1</v>
      </c>
      <c r="C39" s="34" t="s">
        <v>1</v>
      </c>
      <c r="D39" s="1"/>
      <c r="E39" s="38" t="s">
        <v>611</v>
      </c>
      <c r="F39" s="39" t="s">
        <v>611</v>
      </c>
      <c r="G39" s="40" t="s">
        <v>611</v>
      </c>
      <c r="H39" s="1"/>
      <c r="I39" s="32" t="s">
        <v>2</v>
      </c>
      <c r="J39" s="33" t="s">
        <v>2</v>
      </c>
      <c r="K39" s="34" t="s">
        <v>2</v>
      </c>
    </row>
    <row r="40" spans="1:11">
      <c r="A40" s="41">
        <f>COUNTA('Dataset Map'!$A$7:$A$62)</f>
        <v>56</v>
      </c>
      <c r="B40" s="41"/>
      <c r="C40" s="41"/>
      <c r="D40" s="1"/>
      <c r="E40" s="41">
        <f>COUNTIFS('Dataset Map'!$G$7:$G$62,"Wave 1")</f>
        <v>2</v>
      </c>
      <c r="F40" s="41"/>
      <c r="G40" s="41"/>
      <c r="H40" s="1"/>
      <c r="I40" s="41">
        <f>COUNTA('Delivery Plan'!$A$7:$A$20)</f>
        <v>14</v>
      </c>
      <c r="J40" s="41"/>
      <c r="K40" s="41"/>
    </row>
    <row r="41" spans="1:11">
      <c r="A41" s="41"/>
      <c r="B41" s="41"/>
      <c r="C41" s="41"/>
      <c r="D41" s="1"/>
      <c r="E41" s="41"/>
      <c r="F41" s="41"/>
      <c r="G41" s="41"/>
      <c r="H41" s="1"/>
      <c r="I41" s="41"/>
      <c r="J41" s="41"/>
      <c r="K41" s="4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20" t="s">
        <v>612</v>
      </c>
      <c r="B43" s="21" t="s">
        <v>612</v>
      </c>
      <c r="C43" s="21" t="s">
        <v>612</v>
      </c>
      <c r="D43" s="21" t="s">
        <v>612</v>
      </c>
      <c r="E43" s="21" t="s">
        <v>612</v>
      </c>
      <c r="F43" s="21" t="s">
        <v>612</v>
      </c>
      <c r="G43" s="21" t="s">
        <v>612</v>
      </c>
      <c r="H43" s="21" t="s">
        <v>612</v>
      </c>
      <c r="I43" s="21" t="s">
        <v>612</v>
      </c>
      <c r="J43" s="21" t="s">
        <v>612</v>
      </c>
      <c r="K43" s="22" t="s">
        <v>612</v>
      </c>
    </row>
    <row r="44" spans="1:11">
      <c r="A44" s="23" t="s">
        <v>612</v>
      </c>
      <c r="B44" s="24" t="s">
        <v>612</v>
      </c>
      <c r="C44" s="24" t="s">
        <v>612</v>
      </c>
      <c r="D44" s="24" t="s">
        <v>612</v>
      </c>
      <c r="E44" s="24" t="s">
        <v>612</v>
      </c>
      <c r="F44" s="24" t="s">
        <v>612</v>
      </c>
      <c r="G44" s="24" t="s">
        <v>612</v>
      </c>
      <c r="H44" s="24" t="s">
        <v>612</v>
      </c>
      <c r="I44" s="24" t="s">
        <v>612</v>
      </c>
      <c r="J44" s="24" t="s">
        <v>612</v>
      </c>
      <c r="K44" s="25" t="s">
        <v>612</v>
      </c>
    </row>
    <row r="45" spans="1:11">
      <c r="A45" s="26" t="s">
        <v>612</v>
      </c>
      <c r="B45" s="27" t="s">
        <v>612</v>
      </c>
      <c r="C45" s="27" t="s">
        <v>612</v>
      </c>
      <c r="D45" s="27" t="s">
        <v>612</v>
      </c>
      <c r="E45" s="27" t="s">
        <v>612</v>
      </c>
      <c r="F45" s="27" t="s">
        <v>612</v>
      </c>
      <c r="G45" s="27" t="s">
        <v>612</v>
      </c>
      <c r="H45" s="27" t="s">
        <v>612</v>
      </c>
      <c r="I45" s="27" t="s">
        <v>612</v>
      </c>
      <c r="J45" s="27" t="s">
        <v>612</v>
      </c>
      <c r="K45" s="28" t="s">
        <v>612</v>
      </c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</sheetData>
  <mergeCells count="33">
    <mergeCell ref="A6:K7"/>
    <mergeCell ref="A9:C12"/>
    <mergeCell ref="E9:G12"/>
    <mergeCell ref="I9:K12"/>
    <mergeCell ref="A15:C18"/>
    <mergeCell ref="E15:G18"/>
    <mergeCell ref="I15:K18"/>
    <mergeCell ref="A22:C23"/>
    <mergeCell ref="D22:G23"/>
    <mergeCell ref="H22:K23"/>
    <mergeCell ref="A24:C25"/>
    <mergeCell ref="D24:G25"/>
    <mergeCell ref="H24:K25"/>
    <mergeCell ref="A26:C27"/>
    <mergeCell ref="D26:G27"/>
    <mergeCell ref="H26:K27"/>
    <mergeCell ref="A28:C29"/>
    <mergeCell ref="D28:G29"/>
    <mergeCell ref="H28:K29"/>
    <mergeCell ref="A30:C31"/>
    <mergeCell ref="D30:G31"/>
    <mergeCell ref="H30:K31"/>
    <mergeCell ref="A32:C33"/>
    <mergeCell ref="D32:G33"/>
    <mergeCell ref="H32:K33"/>
    <mergeCell ref="A43:K45"/>
    <mergeCell ref="A35:K36"/>
    <mergeCell ref="A38:C39"/>
    <mergeCell ref="E38:G39"/>
    <mergeCell ref="I38:K39"/>
    <mergeCell ref="A40:C41"/>
    <mergeCell ref="E40:G41"/>
    <mergeCell ref="I40:K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30" sqref="C30"/>
    </sheetView>
  </sheetViews>
  <sheetFormatPr defaultRowHeight="14.25"/>
  <cols>
    <col min="1" max="1" width="12" customWidth="1"/>
    <col min="2" max="2" width="27" customWidth="1"/>
    <col min="3" max="4" width="43" customWidth="1"/>
    <col min="5" max="5" width="46" customWidth="1"/>
    <col min="6" max="6" width="38" customWidth="1"/>
    <col min="7" max="7" width="57" customWidth="1"/>
    <col min="8" max="8" width="55" customWidth="1"/>
    <col min="9" max="9" width="48" customWidth="1"/>
    <col min="10" max="11" width="20" customWidth="1"/>
  </cols>
  <sheetData>
    <row r="1" spans="1:1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2" t="s">
        <v>613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3.1" customHeight="1">
      <c r="A4" s="4" t="s">
        <v>614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3.950000000000003" customHeight="1">
      <c r="A6" s="6" t="s">
        <v>3</v>
      </c>
      <c r="B6" s="6" t="s">
        <v>4</v>
      </c>
      <c r="C6" s="6" t="s">
        <v>5</v>
      </c>
      <c r="D6" s="6" t="s">
        <v>2103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</row>
    <row r="7" spans="1:11" ht="45" customHeight="1">
      <c r="A7" s="7" t="s">
        <v>13</v>
      </c>
      <c r="B7" s="8" t="s">
        <v>364</v>
      </c>
      <c r="C7" s="8" t="s">
        <v>615</v>
      </c>
      <c r="D7" s="7" t="s">
        <v>616</v>
      </c>
      <c r="E7" s="7" t="s">
        <v>617</v>
      </c>
      <c r="F7" s="8" t="s">
        <v>2104</v>
      </c>
      <c r="G7" s="8" t="s">
        <v>618</v>
      </c>
      <c r="H7" s="8" t="s">
        <v>619</v>
      </c>
      <c r="I7" s="8" t="s">
        <v>620</v>
      </c>
      <c r="J7" s="8" t="s">
        <v>621</v>
      </c>
      <c r="K7" s="7" t="s">
        <v>622</v>
      </c>
    </row>
    <row r="8" spans="1:11" ht="45" customHeight="1">
      <c r="A8" s="7" t="s">
        <v>14</v>
      </c>
      <c r="B8" s="8" t="s">
        <v>378</v>
      </c>
      <c r="C8" s="8" t="s">
        <v>623</v>
      </c>
      <c r="D8" s="7" t="s">
        <v>624</v>
      </c>
      <c r="E8" s="7" t="s">
        <v>625</v>
      </c>
      <c r="F8" s="8" t="s">
        <v>626</v>
      </c>
      <c r="G8" s="8" t="s">
        <v>627</v>
      </c>
      <c r="H8" s="8" t="s">
        <v>628</v>
      </c>
      <c r="I8" s="8" t="s">
        <v>629</v>
      </c>
      <c r="J8" s="8" t="s">
        <v>621</v>
      </c>
      <c r="K8" s="7" t="s">
        <v>630</v>
      </c>
    </row>
    <row r="9" spans="1:11" ht="45" customHeight="1">
      <c r="A9" s="7" t="s">
        <v>15</v>
      </c>
      <c r="B9" s="8" t="s">
        <v>473</v>
      </c>
      <c r="C9" s="8" t="s">
        <v>631</v>
      </c>
      <c r="D9" s="7" t="s">
        <v>632</v>
      </c>
      <c r="E9" s="7" t="s">
        <v>633</v>
      </c>
      <c r="F9" s="8" t="s">
        <v>634</v>
      </c>
      <c r="G9" s="8" t="s">
        <v>635</v>
      </c>
      <c r="H9" s="8" t="s">
        <v>636</v>
      </c>
      <c r="I9" s="8" t="s">
        <v>637</v>
      </c>
      <c r="J9" s="8" t="s">
        <v>638</v>
      </c>
      <c r="K9" s="7" t="s">
        <v>639</v>
      </c>
    </row>
    <row r="10" spans="1:11" ht="57" customHeight="1">
      <c r="A10" s="7" t="s">
        <v>16</v>
      </c>
      <c r="B10" s="8" t="s">
        <v>393</v>
      </c>
      <c r="C10" s="8" t="s">
        <v>640</v>
      </c>
      <c r="D10" s="7" t="s">
        <v>641</v>
      </c>
      <c r="E10" s="7" t="s">
        <v>642</v>
      </c>
      <c r="F10" s="8" t="s">
        <v>643</v>
      </c>
      <c r="G10" s="8" t="s">
        <v>644</v>
      </c>
      <c r="H10" s="8" t="s">
        <v>645</v>
      </c>
      <c r="I10" s="8" t="s">
        <v>646</v>
      </c>
      <c r="J10" s="8" t="s">
        <v>647</v>
      </c>
      <c r="K10" s="7" t="s">
        <v>648</v>
      </c>
    </row>
    <row r="11" spans="1:11" ht="45" customHeight="1">
      <c r="A11" s="7" t="s">
        <v>17</v>
      </c>
      <c r="B11" s="8" t="s">
        <v>368</v>
      </c>
      <c r="C11" s="8" t="s">
        <v>649</v>
      </c>
      <c r="D11" s="7" t="s">
        <v>650</v>
      </c>
      <c r="E11" s="7" t="s">
        <v>651</v>
      </c>
      <c r="F11" s="8" t="s">
        <v>652</v>
      </c>
      <c r="G11" s="8" t="s">
        <v>653</v>
      </c>
      <c r="H11" s="8" t="s">
        <v>654</v>
      </c>
      <c r="I11" s="8" t="s">
        <v>655</v>
      </c>
      <c r="J11" s="8" t="s">
        <v>621</v>
      </c>
      <c r="K11" s="7" t="s">
        <v>656</v>
      </c>
    </row>
    <row r="12" spans="1:11" ht="57" customHeight="1">
      <c r="A12" s="7" t="s">
        <v>18</v>
      </c>
      <c r="B12" s="8" t="s">
        <v>134</v>
      </c>
      <c r="C12" s="8" t="s">
        <v>657</v>
      </c>
      <c r="D12" s="7" t="s">
        <v>658</v>
      </c>
      <c r="E12" s="7" t="s">
        <v>659</v>
      </c>
      <c r="F12" s="8" t="s">
        <v>660</v>
      </c>
      <c r="G12" s="8" t="s">
        <v>661</v>
      </c>
      <c r="H12" s="8" t="s">
        <v>662</v>
      </c>
      <c r="I12" s="8" t="s">
        <v>663</v>
      </c>
      <c r="J12" s="8" t="s">
        <v>664</v>
      </c>
      <c r="K12" s="7" t="s">
        <v>113</v>
      </c>
    </row>
    <row r="13" spans="1:11" ht="45" customHeight="1">
      <c r="A13" s="7" t="s">
        <v>19</v>
      </c>
      <c r="B13" s="8" t="s">
        <v>665</v>
      </c>
      <c r="C13" s="8" t="s">
        <v>666</v>
      </c>
      <c r="D13" s="7" t="s">
        <v>158</v>
      </c>
      <c r="E13" s="7" t="s">
        <v>667</v>
      </c>
      <c r="F13" s="8" t="s">
        <v>668</v>
      </c>
      <c r="G13" s="8" t="s">
        <v>669</v>
      </c>
      <c r="H13" s="8" t="s">
        <v>670</v>
      </c>
      <c r="I13" s="8" t="s">
        <v>671</v>
      </c>
      <c r="J13" s="8" t="s">
        <v>664</v>
      </c>
      <c r="K13" s="7" t="s">
        <v>114</v>
      </c>
    </row>
    <row r="14" spans="1:11" ht="45" customHeight="1">
      <c r="A14" s="7" t="s">
        <v>20</v>
      </c>
      <c r="B14" s="8" t="s">
        <v>672</v>
      </c>
      <c r="C14" s="8" t="s">
        <v>673</v>
      </c>
      <c r="D14" s="7" t="s">
        <v>674</v>
      </c>
      <c r="E14" s="7" t="s">
        <v>530</v>
      </c>
      <c r="F14" s="8" t="s">
        <v>675</v>
      </c>
      <c r="G14" s="8" t="s">
        <v>676</v>
      </c>
      <c r="H14" s="8" t="s">
        <v>677</v>
      </c>
      <c r="I14" s="8" t="s">
        <v>678</v>
      </c>
      <c r="J14" s="8" t="s">
        <v>679</v>
      </c>
      <c r="K14" s="7" t="s">
        <v>115</v>
      </c>
    </row>
    <row r="15" spans="1:11" ht="57" customHeight="1">
      <c r="A15" s="7" t="s">
        <v>21</v>
      </c>
      <c r="B15" s="8" t="s">
        <v>680</v>
      </c>
      <c r="C15" s="8" t="s">
        <v>681</v>
      </c>
      <c r="D15" s="7" t="s">
        <v>682</v>
      </c>
      <c r="E15" s="7" t="s">
        <v>683</v>
      </c>
      <c r="F15" s="8" t="s">
        <v>684</v>
      </c>
      <c r="G15" s="8" t="s">
        <v>685</v>
      </c>
      <c r="H15" s="8" t="s">
        <v>686</v>
      </c>
      <c r="I15" s="8" t="s">
        <v>687</v>
      </c>
      <c r="J15" s="8" t="s">
        <v>688</v>
      </c>
      <c r="K15" s="7" t="s">
        <v>116</v>
      </c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3.1" customHeight="1">
      <c r="A18" s="4" t="s">
        <v>689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3.950000000000003" customHeight="1">
      <c r="A20" s="6" t="s">
        <v>22</v>
      </c>
      <c r="B20" s="6" t="s">
        <v>23</v>
      </c>
      <c r="C20" s="6" t="s">
        <v>24</v>
      </c>
      <c r="D20" s="6" t="s">
        <v>25</v>
      </c>
      <c r="E20" s="6" t="s">
        <v>26</v>
      </c>
      <c r="F20" s="6" t="s">
        <v>27</v>
      </c>
      <c r="G20" s="1"/>
      <c r="H20" s="1"/>
      <c r="I20" s="1"/>
      <c r="J20" s="1"/>
      <c r="K20" s="1"/>
    </row>
    <row r="21" spans="1:11" ht="45" customHeight="1">
      <c r="A21" s="7" t="s">
        <v>28</v>
      </c>
      <c r="B21" s="8" t="s">
        <v>690</v>
      </c>
      <c r="C21" s="7" t="s">
        <v>691</v>
      </c>
      <c r="D21" s="7" t="s">
        <v>692</v>
      </c>
      <c r="E21" s="8" t="s">
        <v>693</v>
      </c>
      <c r="F21" s="9"/>
      <c r="G21" s="1"/>
      <c r="H21" s="1"/>
      <c r="I21" s="1"/>
      <c r="J21" s="1"/>
      <c r="K21" s="1"/>
    </row>
    <row r="22" spans="1:11" ht="57" customHeight="1">
      <c r="A22" s="7" t="s">
        <v>29</v>
      </c>
      <c r="B22" s="8" t="s">
        <v>694</v>
      </c>
      <c r="C22" s="7" t="s">
        <v>695</v>
      </c>
      <c r="D22" s="7" t="s">
        <v>696</v>
      </c>
      <c r="E22" s="8" t="s">
        <v>697</v>
      </c>
      <c r="F22" s="9"/>
      <c r="G22" s="1"/>
      <c r="H22" s="1"/>
      <c r="I22" s="1"/>
      <c r="J22" s="1"/>
      <c r="K22" s="1"/>
    </row>
    <row r="23" spans="1:11" ht="45" customHeight="1">
      <c r="A23" s="7" t="s">
        <v>30</v>
      </c>
      <c r="B23" s="8" t="s">
        <v>698</v>
      </c>
      <c r="C23" s="7" t="s">
        <v>699</v>
      </c>
      <c r="D23" s="7" t="s">
        <v>700</v>
      </c>
      <c r="E23" s="8" t="s">
        <v>701</v>
      </c>
      <c r="F23" s="9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t="s">
        <v>2106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3.1" customHeight="1">
      <c r="A26" s="4" t="s">
        <v>2105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3.950000000000003" customHeight="1">
      <c r="A27" s="6" t="s">
        <v>3</v>
      </c>
      <c r="B27" s="6" t="s">
        <v>31</v>
      </c>
      <c r="C27" s="6" t="s">
        <v>32</v>
      </c>
      <c r="D27" s="6" t="s">
        <v>33</v>
      </c>
      <c r="E27" s="6" t="s">
        <v>34</v>
      </c>
      <c r="F27" s="6" t="s">
        <v>35</v>
      </c>
      <c r="G27" s="1"/>
      <c r="H27" s="1"/>
      <c r="I27" s="1"/>
      <c r="J27" s="1"/>
      <c r="K27" s="1"/>
    </row>
    <row r="28" spans="1:11" ht="45" customHeight="1">
      <c r="A28" s="7" t="s">
        <v>702</v>
      </c>
      <c r="B28" s="8" t="s">
        <v>703</v>
      </c>
      <c r="C28" s="8" t="s">
        <v>704</v>
      </c>
      <c r="D28" s="8" t="s">
        <v>705</v>
      </c>
      <c r="E28" s="7" t="s">
        <v>706</v>
      </c>
      <c r="F28" s="9"/>
      <c r="G28" s="1"/>
      <c r="H28" s="1"/>
      <c r="I28" s="1"/>
      <c r="J28" s="1"/>
      <c r="K28" s="1"/>
    </row>
    <row r="29" spans="1:11" ht="45" customHeight="1">
      <c r="A29" s="7" t="s">
        <v>707</v>
      </c>
      <c r="B29" s="8" t="s">
        <v>708</v>
      </c>
      <c r="C29" s="8" t="s">
        <v>709</v>
      </c>
      <c r="D29" s="8" t="s">
        <v>710</v>
      </c>
      <c r="E29" s="7" t="s">
        <v>711</v>
      </c>
      <c r="F29" s="9"/>
      <c r="G29" s="1"/>
      <c r="H29" s="1"/>
      <c r="I29" s="1"/>
      <c r="J29" s="1"/>
      <c r="K29" s="1"/>
    </row>
    <row r="30" spans="1:11" ht="45" customHeight="1">
      <c r="A30" s="7" t="s">
        <v>712</v>
      </c>
      <c r="B30" s="8" t="s">
        <v>713</v>
      </c>
      <c r="C30" s="8" t="s">
        <v>714</v>
      </c>
      <c r="D30" s="8" t="s">
        <v>715</v>
      </c>
      <c r="E30" s="7" t="s">
        <v>716</v>
      </c>
      <c r="F30" s="9"/>
      <c r="G30" s="1"/>
      <c r="H30" s="1"/>
      <c r="I30" s="1"/>
      <c r="J30" s="1"/>
      <c r="K30" s="1"/>
    </row>
    <row r="31" spans="1:11" ht="45" customHeight="1">
      <c r="A31" s="7" t="s">
        <v>717</v>
      </c>
      <c r="B31" s="8" t="s">
        <v>718</v>
      </c>
      <c r="C31" s="8" t="s">
        <v>719</v>
      </c>
      <c r="D31" s="8" t="s">
        <v>720</v>
      </c>
      <c r="E31" s="7" t="s">
        <v>721</v>
      </c>
      <c r="F31" s="9"/>
      <c r="G31" s="1"/>
      <c r="H31" s="1"/>
      <c r="I31" s="1"/>
      <c r="J31" s="1"/>
      <c r="K31" s="1"/>
    </row>
    <row r="32" spans="1:11" ht="45" customHeight="1">
      <c r="A32" s="7" t="s">
        <v>722</v>
      </c>
      <c r="B32" s="8" t="s">
        <v>723</v>
      </c>
      <c r="C32" s="8" t="s">
        <v>724</v>
      </c>
      <c r="D32" s="8" t="s">
        <v>725</v>
      </c>
      <c r="E32" s="7" t="s">
        <v>726</v>
      </c>
      <c r="F32" s="9"/>
      <c r="G32" s="1"/>
      <c r="H32" s="1"/>
      <c r="I32" s="1"/>
      <c r="J32" s="1"/>
      <c r="K32" s="1"/>
    </row>
    <row r="33" spans="1:11" ht="45" customHeight="1">
      <c r="A33" s="7" t="s">
        <v>727</v>
      </c>
      <c r="B33" s="8" t="s">
        <v>728</v>
      </c>
      <c r="C33" s="8" t="s">
        <v>729</v>
      </c>
      <c r="D33" s="8" t="s">
        <v>730</v>
      </c>
      <c r="E33" s="7" t="s">
        <v>731</v>
      </c>
      <c r="F33" s="9"/>
      <c r="G33" s="1"/>
      <c r="H33" s="1"/>
      <c r="I33" s="1"/>
      <c r="J33" s="1"/>
      <c r="K33" s="1"/>
    </row>
    <row r="34" spans="1:11" ht="45" customHeight="1">
      <c r="A34" s="7" t="s">
        <v>732</v>
      </c>
      <c r="B34" s="8" t="s">
        <v>733</v>
      </c>
      <c r="C34" s="8" t="s">
        <v>734</v>
      </c>
      <c r="D34" s="8" t="s">
        <v>735</v>
      </c>
      <c r="E34" s="7" t="s">
        <v>736</v>
      </c>
      <c r="F34" s="9"/>
      <c r="G34" s="1"/>
      <c r="H34" s="1"/>
      <c r="I34" s="1"/>
      <c r="J34" s="1"/>
      <c r="K34" s="1"/>
    </row>
    <row r="35" spans="1:11" ht="45" customHeight="1">
      <c r="A35" s="7" t="s">
        <v>737</v>
      </c>
      <c r="B35" s="8" t="s">
        <v>738</v>
      </c>
      <c r="C35" s="8" t="s">
        <v>739</v>
      </c>
      <c r="D35" s="8" t="s">
        <v>740</v>
      </c>
      <c r="E35" s="7" t="s">
        <v>741</v>
      </c>
      <c r="F35" s="9"/>
      <c r="G35" s="1"/>
      <c r="H35" s="1"/>
      <c r="I35" s="1"/>
      <c r="J35" s="1"/>
      <c r="K35" s="1"/>
    </row>
    <row r="36" spans="1:11" ht="45" customHeight="1">
      <c r="A36" s="7" t="s">
        <v>742</v>
      </c>
      <c r="B36" s="8" t="s">
        <v>743</v>
      </c>
      <c r="C36" s="8" t="s">
        <v>744</v>
      </c>
      <c r="D36" s="8" t="s">
        <v>745</v>
      </c>
      <c r="E36" s="7" t="s">
        <v>746</v>
      </c>
      <c r="F36" s="9"/>
      <c r="G36" s="1"/>
      <c r="H36" s="1"/>
      <c r="I36" s="1"/>
      <c r="J36" s="1"/>
      <c r="K36" s="1"/>
    </row>
    <row r="37" spans="1:11" ht="45" customHeight="1">
      <c r="A37" s="7" t="s">
        <v>747</v>
      </c>
      <c r="B37" s="8" t="s">
        <v>748</v>
      </c>
      <c r="C37" s="8" t="s">
        <v>749</v>
      </c>
      <c r="D37" s="8" t="s">
        <v>750</v>
      </c>
      <c r="E37" s="7" t="s">
        <v>751</v>
      </c>
      <c r="F37" s="9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6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F62" sqref="F62"/>
    </sheetView>
  </sheetViews>
  <sheetFormatPr defaultRowHeight="14.25"/>
  <cols>
    <col min="1" max="1" width="10" customWidth="1"/>
    <col min="2" max="2" width="34" customWidth="1"/>
    <col min="3" max="3" width="40" customWidth="1"/>
    <col min="4" max="4" width="26" customWidth="1"/>
    <col min="5" max="5" width="47" customWidth="1"/>
    <col min="6" max="6" width="30" customWidth="1"/>
    <col min="7" max="7" width="16" customWidth="1"/>
    <col min="8" max="8" width="65" customWidth="1"/>
    <col min="9" max="9" width="23" customWidth="1"/>
    <col min="10" max="10" width="35" customWidth="1"/>
    <col min="11" max="12" width="22" customWidth="1"/>
    <col min="13" max="13" width="40" customWidth="1"/>
  </cols>
  <sheetData>
    <row r="1" spans="1:13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7.95" customHeight="1">
      <c r="A2" s="2" t="s">
        <v>2107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3.1" customHeight="1">
      <c r="A4" s="4" t="s">
        <v>2108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3.950000000000003" customHeight="1">
      <c r="A6" s="6" t="s">
        <v>3</v>
      </c>
      <c r="B6" s="6" t="s">
        <v>752</v>
      </c>
      <c r="C6" s="6" t="s">
        <v>753</v>
      </c>
      <c r="D6" s="6" t="s">
        <v>754</v>
      </c>
      <c r="E6" s="6" t="s">
        <v>755</v>
      </c>
      <c r="F6" s="6" t="s">
        <v>756</v>
      </c>
      <c r="G6" s="6" t="s">
        <v>11</v>
      </c>
      <c r="H6" s="6" t="s">
        <v>757</v>
      </c>
      <c r="I6" s="6" t="s">
        <v>50</v>
      </c>
      <c r="J6" s="6" t="s">
        <v>758</v>
      </c>
      <c r="K6" s="6" t="s">
        <v>759</v>
      </c>
      <c r="L6" s="6" t="s">
        <v>51</v>
      </c>
      <c r="M6" s="6" t="s">
        <v>68</v>
      </c>
    </row>
    <row r="7" spans="1:13" ht="45" customHeight="1">
      <c r="A7" s="7" t="s">
        <v>760</v>
      </c>
      <c r="B7" s="7" t="s">
        <v>135</v>
      </c>
      <c r="C7" s="7" t="s">
        <v>134</v>
      </c>
      <c r="D7" s="8" t="s">
        <v>134</v>
      </c>
      <c r="E7" s="7" t="s">
        <v>761</v>
      </c>
      <c r="F7" s="8" t="s">
        <v>762</v>
      </c>
      <c r="G7" s="8" t="s">
        <v>664</v>
      </c>
      <c r="H7" s="8" t="s">
        <v>763</v>
      </c>
      <c r="I7" s="7" t="s">
        <v>113</v>
      </c>
      <c r="J7" s="7" t="s">
        <v>132</v>
      </c>
      <c r="K7" s="9" t="s">
        <v>764</v>
      </c>
      <c r="L7" s="9"/>
      <c r="M7" s="9"/>
    </row>
    <row r="8" spans="1:13" ht="45" customHeight="1">
      <c r="A8" s="7" t="s">
        <v>765</v>
      </c>
      <c r="B8" s="7" t="s">
        <v>139</v>
      </c>
      <c r="C8" s="7" t="s">
        <v>134</v>
      </c>
      <c r="D8" s="8" t="s">
        <v>134</v>
      </c>
      <c r="E8" s="7" t="s">
        <v>766</v>
      </c>
      <c r="F8" s="8" t="s">
        <v>767</v>
      </c>
      <c r="G8" s="8" t="s">
        <v>664</v>
      </c>
      <c r="H8" s="8" t="s">
        <v>768</v>
      </c>
      <c r="I8" s="7" t="s">
        <v>113</v>
      </c>
      <c r="J8" s="7" t="s">
        <v>138</v>
      </c>
      <c r="K8" s="9" t="s">
        <v>764</v>
      </c>
      <c r="L8" s="9"/>
      <c r="M8" s="9"/>
    </row>
    <row r="9" spans="1:13" ht="45" customHeight="1">
      <c r="A9" s="7" t="s">
        <v>769</v>
      </c>
      <c r="B9" s="7" t="s">
        <v>142</v>
      </c>
      <c r="C9" s="7" t="s">
        <v>134</v>
      </c>
      <c r="D9" s="8" t="s">
        <v>134</v>
      </c>
      <c r="E9" s="7" t="s">
        <v>761</v>
      </c>
      <c r="F9" s="8" t="s">
        <v>762</v>
      </c>
      <c r="G9" s="8" t="s">
        <v>664</v>
      </c>
      <c r="H9" s="8" t="s">
        <v>770</v>
      </c>
      <c r="I9" s="7" t="s">
        <v>113</v>
      </c>
      <c r="J9" s="7" t="s">
        <v>141</v>
      </c>
      <c r="K9" s="9" t="s">
        <v>764</v>
      </c>
      <c r="L9" s="9"/>
      <c r="M9" s="9"/>
    </row>
    <row r="10" spans="1:13" ht="45" customHeight="1">
      <c r="A10" s="7" t="s">
        <v>771</v>
      </c>
      <c r="B10" s="7" t="s">
        <v>145</v>
      </c>
      <c r="C10" s="7" t="s">
        <v>134</v>
      </c>
      <c r="D10" s="8" t="s">
        <v>772</v>
      </c>
      <c r="E10" s="7" t="s">
        <v>761</v>
      </c>
      <c r="F10" s="8" t="s">
        <v>773</v>
      </c>
      <c r="G10" s="8" t="s">
        <v>679</v>
      </c>
      <c r="H10" s="8" t="s">
        <v>774</v>
      </c>
      <c r="I10" s="7" t="s">
        <v>115</v>
      </c>
      <c r="J10" s="7" t="s">
        <v>144</v>
      </c>
      <c r="K10" s="9" t="s">
        <v>764</v>
      </c>
      <c r="L10" s="9"/>
      <c r="M10" s="9"/>
    </row>
    <row r="11" spans="1:13" ht="45" customHeight="1">
      <c r="A11" s="7" t="s">
        <v>775</v>
      </c>
      <c r="B11" s="7" t="s">
        <v>148</v>
      </c>
      <c r="C11" s="7" t="s">
        <v>134</v>
      </c>
      <c r="D11" s="8" t="s">
        <v>134</v>
      </c>
      <c r="E11" s="7" t="s">
        <v>667</v>
      </c>
      <c r="F11" s="8" t="s">
        <v>776</v>
      </c>
      <c r="G11" s="8" t="s">
        <v>664</v>
      </c>
      <c r="H11" s="8" t="s">
        <v>777</v>
      </c>
      <c r="I11" s="7" t="s">
        <v>113</v>
      </c>
      <c r="J11" s="7" t="s">
        <v>147</v>
      </c>
      <c r="K11" s="9" t="s">
        <v>764</v>
      </c>
      <c r="L11" s="9"/>
      <c r="M11" s="9"/>
    </row>
    <row r="12" spans="1:13" ht="45" customHeight="1">
      <c r="A12" s="7" t="s">
        <v>778</v>
      </c>
      <c r="B12" s="7" t="s">
        <v>151</v>
      </c>
      <c r="C12" s="7" t="s">
        <v>134</v>
      </c>
      <c r="D12" s="8" t="s">
        <v>134</v>
      </c>
      <c r="E12" s="7" t="s">
        <v>667</v>
      </c>
      <c r="F12" s="8" t="s">
        <v>779</v>
      </c>
      <c r="G12" s="8" t="s">
        <v>664</v>
      </c>
      <c r="H12" s="8" t="s">
        <v>780</v>
      </c>
      <c r="I12" s="7" t="s">
        <v>113</v>
      </c>
      <c r="J12" s="7" t="s">
        <v>150</v>
      </c>
      <c r="K12" s="9" t="s">
        <v>764</v>
      </c>
      <c r="L12" s="9"/>
      <c r="M12" s="9"/>
    </row>
    <row r="13" spans="1:13" ht="57" customHeight="1">
      <c r="A13" s="7" t="s">
        <v>781</v>
      </c>
      <c r="B13" s="7" t="s">
        <v>155</v>
      </c>
      <c r="C13" s="7" t="s">
        <v>154</v>
      </c>
      <c r="D13" s="8" t="s">
        <v>364</v>
      </c>
      <c r="E13" s="7" t="s">
        <v>782</v>
      </c>
      <c r="F13" s="8" t="s">
        <v>783</v>
      </c>
      <c r="G13" s="8" t="s">
        <v>621</v>
      </c>
      <c r="H13" s="8" t="s">
        <v>784</v>
      </c>
      <c r="I13" s="7" t="s">
        <v>785</v>
      </c>
      <c r="J13" s="7" t="s">
        <v>153</v>
      </c>
      <c r="K13" s="9" t="s">
        <v>764</v>
      </c>
      <c r="L13" s="9"/>
      <c r="M13" s="9"/>
    </row>
    <row r="14" spans="1:13" ht="45" customHeight="1">
      <c r="A14" s="7" t="s">
        <v>786</v>
      </c>
      <c r="B14" s="7" t="s">
        <v>158</v>
      </c>
      <c r="C14" s="7" t="s">
        <v>154</v>
      </c>
      <c r="D14" s="8" t="s">
        <v>787</v>
      </c>
      <c r="E14" s="7" t="s">
        <v>667</v>
      </c>
      <c r="F14" s="8" t="s">
        <v>788</v>
      </c>
      <c r="G14" s="8" t="s">
        <v>664</v>
      </c>
      <c r="H14" s="8" t="s">
        <v>789</v>
      </c>
      <c r="I14" s="7" t="s">
        <v>114</v>
      </c>
      <c r="J14" s="7" t="s">
        <v>157</v>
      </c>
      <c r="K14" s="9" t="s">
        <v>764</v>
      </c>
      <c r="L14" s="9"/>
      <c r="M14" s="9"/>
    </row>
    <row r="15" spans="1:13" ht="57" customHeight="1">
      <c r="A15" s="7" t="s">
        <v>790</v>
      </c>
      <c r="B15" s="7" t="s">
        <v>162</v>
      </c>
      <c r="C15" s="7" t="s">
        <v>161</v>
      </c>
      <c r="D15" s="8" t="s">
        <v>393</v>
      </c>
      <c r="E15" s="7" t="s">
        <v>791</v>
      </c>
      <c r="F15" s="8" t="s">
        <v>792</v>
      </c>
      <c r="G15" s="8" t="s">
        <v>621</v>
      </c>
      <c r="H15" s="8" t="s">
        <v>793</v>
      </c>
      <c r="I15" s="7" t="s">
        <v>794</v>
      </c>
      <c r="J15" s="7" t="s">
        <v>160</v>
      </c>
      <c r="K15" s="9" t="s">
        <v>764</v>
      </c>
      <c r="L15" s="9"/>
      <c r="M15" s="9"/>
    </row>
    <row r="16" spans="1:13" ht="57" customHeight="1">
      <c r="A16" s="7" t="s">
        <v>795</v>
      </c>
      <c r="B16" s="7" t="s">
        <v>165</v>
      </c>
      <c r="C16" s="7" t="s">
        <v>161</v>
      </c>
      <c r="D16" s="8" t="s">
        <v>393</v>
      </c>
      <c r="E16" s="7" t="s">
        <v>796</v>
      </c>
      <c r="F16" s="8" t="s">
        <v>792</v>
      </c>
      <c r="G16" s="8" t="s">
        <v>621</v>
      </c>
      <c r="H16" s="8" t="s">
        <v>793</v>
      </c>
      <c r="I16" s="7" t="s">
        <v>797</v>
      </c>
      <c r="J16" s="7" t="s">
        <v>164</v>
      </c>
      <c r="K16" s="9" t="s">
        <v>764</v>
      </c>
      <c r="L16" s="9"/>
      <c r="M16" s="9"/>
    </row>
    <row r="17" spans="1:13" ht="57" customHeight="1">
      <c r="A17" s="7" t="s">
        <v>798</v>
      </c>
      <c r="B17" s="7" t="s">
        <v>169</v>
      </c>
      <c r="C17" s="7" t="s">
        <v>168</v>
      </c>
      <c r="D17" s="8" t="s">
        <v>473</v>
      </c>
      <c r="E17" s="7" t="s">
        <v>667</v>
      </c>
      <c r="F17" s="8" t="s">
        <v>799</v>
      </c>
      <c r="G17" s="8" t="s">
        <v>621</v>
      </c>
      <c r="H17" s="8" t="s">
        <v>800</v>
      </c>
      <c r="I17" s="7" t="s">
        <v>110</v>
      </c>
      <c r="J17" s="7" t="s">
        <v>167</v>
      </c>
      <c r="K17" s="9" t="s">
        <v>764</v>
      </c>
      <c r="L17" s="9"/>
      <c r="M17" s="9"/>
    </row>
    <row r="18" spans="1:13" ht="57" customHeight="1">
      <c r="A18" s="7" t="s">
        <v>801</v>
      </c>
      <c r="B18" s="7" t="s">
        <v>172</v>
      </c>
      <c r="C18" s="7" t="s">
        <v>168</v>
      </c>
      <c r="D18" s="8" t="s">
        <v>473</v>
      </c>
      <c r="E18" s="7" t="s">
        <v>802</v>
      </c>
      <c r="F18" s="8" t="s">
        <v>799</v>
      </c>
      <c r="G18" s="8" t="s">
        <v>621</v>
      </c>
      <c r="H18" s="8" t="s">
        <v>800</v>
      </c>
      <c r="I18" s="7" t="s">
        <v>803</v>
      </c>
      <c r="J18" s="7" t="s">
        <v>171</v>
      </c>
      <c r="K18" s="9" t="s">
        <v>764</v>
      </c>
      <c r="L18" s="9"/>
      <c r="M18" s="9"/>
    </row>
    <row r="19" spans="1:13" ht="45" customHeight="1">
      <c r="A19" s="7" t="s">
        <v>804</v>
      </c>
      <c r="B19" s="7" t="s">
        <v>175</v>
      </c>
      <c r="C19" s="7" t="s">
        <v>168</v>
      </c>
      <c r="D19" s="8" t="s">
        <v>473</v>
      </c>
      <c r="E19" s="7" t="s">
        <v>805</v>
      </c>
      <c r="F19" s="8" t="s">
        <v>806</v>
      </c>
      <c r="G19" s="8" t="s">
        <v>807</v>
      </c>
      <c r="H19" s="8" t="s">
        <v>808</v>
      </c>
      <c r="I19" s="7" t="s">
        <v>809</v>
      </c>
      <c r="J19" s="7" t="s">
        <v>174</v>
      </c>
      <c r="K19" s="9" t="s">
        <v>764</v>
      </c>
      <c r="L19" s="9"/>
      <c r="M19" s="9"/>
    </row>
    <row r="20" spans="1:13" ht="45" customHeight="1">
      <c r="A20" s="7" t="s">
        <v>810</v>
      </c>
      <c r="B20" s="7" t="s">
        <v>178</v>
      </c>
      <c r="C20" s="7" t="s">
        <v>168</v>
      </c>
      <c r="D20" s="8" t="s">
        <v>473</v>
      </c>
      <c r="E20" s="7" t="s">
        <v>811</v>
      </c>
      <c r="F20" s="8" t="s">
        <v>806</v>
      </c>
      <c r="G20" s="8" t="s">
        <v>807</v>
      </c>
      <c r="H20" s="8" t="s">
        <v>808</v>
      </c>
      <c r="I20" s="7" t="s">
        <v>809</v>
      </c>
      <c r="J20" s="7" t="s">
        <v>177</v>
      </c>
      <c r="K20" s="9" t="s">
        <v>764</v>
      </c>
      <c r="L20" s="9"/>
      <c r="M20" s="9"/>
    </row>
    <row r="21" spans="1:13" ht="57" customHeight="1">
      <c r="A21" s="7" t="s">
        <v>812</v>
      </c>
      <c r="B21" s="7" t="s">
        <v>181</v>
      </c>
      <c r="C21" s="7" t="s">
        <v>168</v>
      </c>
      <c r="D21" s="8" t="s">
        <v>473</v>
      </c>
      <c r="E21" s="7" t="s">
        <v>813</v>
      </c>
      <c r="F21" s="8" t="s">
        <v>799</v>
      </c>
      <c r="G21" s="8" t="s">
        <v>621</v>
      </c>
      <c r="H21" s="8" t="s">
        <v>800</v>
      </c>
      <c r="I21" s="7" t="s">
        <v>814</v>
      </c>
      <c r="J21" s="7" t="s">
        <v>180</v>
      </c>
      <c r="K21" s="9" t="s">
        <v>764</v>
      </c>
      <c r="L21" s="9"/>
      <c r="M21" s="9"/>
    </row>
    <row r="22" spans="1:13" ht="57" customHeight="1">
      <c r="A22" s="7" t="s">
        <v>815</v>
      </c>
      <c r="B22" s="7" t="s">
        <v>184</v>
      </c>
      <c r="C22" s="7" t="s">
        <v>168</v>
      </c>
      <c r="D22" s="8" t="s">
        <v>473</v>
      </c>
      <c r="E22" s="7" t="s">
        <v>816</v>
      </c>
      <c r="F22" s="8" t="s">
        <v>799</v>
      </c>
      <c r="G22" s="8" t="s">
        <v>621</v>
      </c>
      <c r="H22" s="8" t="s">
        <v>800</v>
      </c>
      <c r="I22" s="7" t="s">
        <v>110</v>
      </c>
      <c r="J22" s="7" t="s">
        <v>183</v>
      </c>
      <c r="K22" s="9" t="s">
        <v>764</v>
      </c>
      <c r="L22" s="9"/>
      <c r="M22" s="9"/>
    </row>
    <row r="23" spans="1:13" ht="57" customHeight="1">
      <c r="A23" s="7" t="s">
        <v>817</v>
      </c>
      <c r="B23" s="7" t="s">
        <v>187</v>
      </c>
      <c r="C23" s="7" t="s">
        <v>168</v>
      </c>
      <c r="D23" s="8" t="s">
        <v>473</v>
      </c>
      <c r="E23" s="7" t="s">
        <v>818</v>
      </c>
      <c r="F23" s="8" t="s">
        <v>799</v>
      </c>
      <c r="G23" s="8" t="s">
        <v>621</v>
      </c>
      <c r="H23" s="8" t="s">
        <v>800</v>
      </c>
      <c r="I23" s="7" t="s">
        <v>819</v>
      </c>
      <c r="J23" s="7" t="s">
        <v>186</v>
      </c>
      <c r="K23" s="9" t="s">
        <v>764</v>
      </c>
      <c r="L23" s="9"/>
      <c r="M23" s="9"/>
    </row>
    <row r="24" spans="1:13" ht="57" customHeight="1">
      <c r="A24" s="7" t="s">
        <v>820</v>
      </c>
      <c r="B24" s="7" t="s">
        <v>190</v>
      </c>
      <c r="C24" s="7" t="s">
        <v>168</v>
      </c>
      <c r="D24" s="8" t="s">
        <v>393</v>
      </c>
      <c r="E24" s="7" t="s">
        <v>821</v>
      </c>
      <c r="F24" s="8" t="s">
        <v>799</v>
      </c>
      <c r="G24" s="8" t="s">
        <v>621</v>
      </c>
      <c r="H24" s="8" t="s">
        <v>800</v>
      </c>
      <c r="I24" s="7" t="s">
        <v>107</v>
      </c>
      <c r="J24" s="7" t="s">
        <v>189</v>
      </c>
      <c r="K24" s="9" t="s">
        <v>764</v>
      </c>
      <c r="L24" s="9"/>
      <c r="M24" s="9"/>
    </row>
    <row r="25" spans="1:13" ht="45" customHeight="1">
      <c r="A25" s="7" t="s">
        <v>822</v>
      </c>
      <c r="B25" s="7" t="s">
        <v>193</v>
      </c>
      <c r="C25" s="7" t="s">
        <v>168</v>
      </c>
      <c r="D25" s="8" t="s">
        <v>134</v>
      </c>
      <c r="E25" s="7" t="s">
        <v>823</v>
      </c>
      <c r="F25" s="8" t="s">
        <v>824</v>
      </c>
      <c r="G25" s="8" t="s">
        <v>664</v>
      </c>
      <c r="H25" s="8" t="s">
        <v>825</v>
      </c>
      <c r="I25" s="7" t="s">
        <v>113</v>
      </c>
      <c r="J25" s="7" t="s">
        <v>192</v>
      </c>
      <c r="K25" s="9" t="s">
        <v>764</v>
      </c>
      <c r="L25" s="9"/>
      <c r="M25" s="9"/>
    </row>
    <row r="26" spans="1:13" ht="57" customHeight="1">
      <c r="A26" s="7" t="s">
        <v>826</v>
      </c>
      <c r="B26" s="7" t="s">
        <v>197</v>
      </c>
      <c r="C26" s="7" t="s">
        <v>196</v>
      </c>
      <c r="D26" s="8" t="s">
        <v>393</v>
      </c>
      <c r="E26" s="7" t="s">
        <v>791</v>
      </c>
      <c r="F26" s="8" t="s">
        <v>792</v>
      </c>
      <c r="G26" s="8" t="s">
        <v>621</v>
      </c>
      <c r="H26" s="8" t="s">
        <v>793</v>
      </c>
      <c r="I26" s="7" t="s">
        <v>794</v>
      </c>
      <c r="J26" s="7" t="s">
        <v>195</v>
      </c>
      <c r="K26" s="9" t="s">
        <v>764</v>
      </c>
      <c r="L26" s="9"/>
      <c r="M26" s="9"/>
    </row>
    <row r="27" spans="1:13" ht="57" customHeight="1">
      <c r="A27" s="7" t="s">
        <v>827</v>
      </c>
      <c r="B27" s="7" t="s">
        <v>200</v>
      </c>
      <c r="C27" s="7" t="s">
        <v>196</v>
      </c>
      <c r="D27" s="8" t="s">
        <v>393</v>
      </c>
      <c r="E27" s="7" t="s">
        <v>796</v>
      </c>
      <c r="F27" s="8" t="s">
        <v>792</v>
      </c>
      <c r="G27" s="8" t="s">
        <v>621</v>
      </c>
      <c r="H27" s="8" t="s">
        <v>793</v>
      </c>
      <c r="I27" s="7" t="s">
        <v>797</v>
      </c>
      <c r="J27" s="7" t="s">
        <v>199</v>
      </c>
      <c r="K27" s="9" t="s">
        <v>764</v>
      </c>
      <c r="L27" s="9"/>
      <c r="M27" s="9"/>
    </row>
    <row r="28" spans="1:13" ht="57" customHeight="1">
      <c r="A28" s="7" t="s">
        <v>828</v>
      </c>
      <c r="B28" s="7" t="s">
        <v>203</v>
      </c>
      <c r="C28" s="7" t="s">
        <v>196</v>
      </c>
      <c r="D28" s="8" t="s">
        <v>473</v>
      </c>
      <c r="E28" s="7" t="s">
        <v>829</v>
      </c>
      <c r="F28" s="8" t="s">
        <v>792</v>
      </c>
      <c r="G28" s="8" t="s">
        <v>621</v>
      </c>
      <c r="H28" s="8" t="s">
        <v>793</v>
      </c>
      <c r="I28" s="7" t="s">
        <v>830</v>
      </c>
      <c r="J28" s="7" t="s">
        <v>202</v>
      </c>
      <c r="K28" s="9" t="s">
        <v>764</v>
      </c>
      <c r="L28" s="9"/>
      <c r="M28" s="9"/>
    </row>
    <row r="29" spans="1:13" ht="57" customHeight="1">
      <c r="A29" s="7" t="s">
        <v>831</v>
      </c>
      <c r="B29" s="7" t="s">
        <v>207</v>
      </c>
      <c r="C29" s="7" t="s">
        <v>206</v>
      </c>
      <c r="D29" s="8" t="s">
        <v>473</v>
      </c>
      <c r="E29" s="7" t="s">
        <v>829</v>
      </c>
      <c r="F29" s="8" t="s">
        <v>792</v>
      </c>
      <c r="G29" s="8" t="s">
        <v>621</v>
      </c>
      <c r="H29" s="8" t="s">
        <v>793</v>
      </c>
      <c r="I29" s="7" t="s">
        <v>830</v>
      </c>
      <c r="J29" s="7" t="s">
        <v>205</v>
      </c>
      <c r="K29" s="9" t="s">
        <v>764</v>
      </c>
      <c r="L29" s="9"/>
      <c r="M29" s="9"/>
    </row>
    <row r="30" spans="1:13" ht="57" customHeight="1">
      <c r="A30" s="7" t="s">
        <v>832</v>
      </c>
      <c r="B30" s="7" t="s">
        <v>210</v>
      </c>
      <c r="C30" s="7" t="s">
        <v>206</v>
      </c>
      <c r="D30" s="8" t="s">
        <v>393</v>
      </c>
      <c r="E30" s="7" t="s">
        <v>796</v>
      </c>
      <c r="F30" s="8" t="s">
        <v>792</v>
      </c>
      <c r="G30" s="8" t="s">
        <v>621</v>
      </c>
      <c r="H30" s="8" t="s">
        <v>793</v>
      </c>
      <c r="I30" s="7" t="s">
        <v>797</v>
      </c>
      <c r="J30" s="7" t="s">
        <v>209</v>
      </c>
      <c r="K30" s="9" t="s">
        <v>764</v>
      </c>
      <c r="L30" s="9"/>
      <c r="M30" s="9"/>
    </row>
    <row r="31" spans="1:13" ht="57" customHeight="1">
      <c r="A31" s="7" t="s">
        <v>833</v>
      </c>
      <c r="B31" s="7" t="s">
        <v>213</v>
      </c>
      <c r="C31" s="7" t="s">
        <v>206</v>
      </c>
      <c r="D31" s="8" t="s">
        <v>393</v>
      </c>
      <c r="E31" s="7" t="s">
        <v>791</v>
      </c>
      <c r="F31" s="8" t="s">
        <v>792</v>
      </c>
      <c r="G31" s="8" t="s">
        <v>621</v>
      </c>
      <c r="H31" s="8" t="s">
        <v>793</v>
      </c>
      <c r="I31" s="7" t="s">
        <v>794</v>
      </c>
      <c r="J31" s="7" t="s">
        <v>212</v>
      </c>
      <c r="K31" s="9" t="s">
        <v>764</v>
      </c>
      <c r="L31" s="9"/>
      <c r="M31" s="9"/>
    </row>
    <row r="32" spans="1:13" ht="57" customHeight="1">
      <c r="A32" s="7" t="s">
        <v>834</v>
      </c>
      <c r="B32" s="7" t="s">
        <v>216</v>
      </c>
      <c r="C32" s="7" t="s">
        <v>206</v>
      </c>
      <c r="D32" s="8" t="s">
        <v>473</v>
      </c>
      <c r="E32" s="7" t="s">
        <v>835</v>
      </c>
      <c r="F32" s="8" t="s">
        <v>792</v>
      </c>
      <c r="G32" s="8" t="s">
        <v>621</v>
      </c>
      <c r="H32" s="8" t="s">
        <v>793</v>
      </c>
      <c r="I32" s="7" t="s">
        <v>830</v>
      </c>
      <c r="J32" s="7" t="s">
        <v>215</v>
      </c>
      <c r="K32" s="9" t="s">
        <v>764</v>
      </c>
      <c r="L32" s="9"/>
      <c r="M32" s="9"/>
    </row>
    <row r="33" spans="1:13" ht="57" customHeight="1">
      <c r="A33" s="7" t="s">
        <v>836</v>
      </c>
      <c r="B33" s="7" t="s">
        <v>220</v>
      </c>
      <c r="C33" s="7" t="s">
        <v>219</v>
      </c>
      <c r="D33" s="8" t="s">
        <v>393</v>
      </c>
      <c r="E33" s="7" t="s">
        <v>837</v>
      </c>
      <c r="F33" s="8" t="s">
        <v>799</v>
      </c>
      <c r="G33" s="8" t="s">
        <v>621</v>
      </c>
      <c r="H33" s="8" t="s">
        <v>800</v>
      </c>
      <c r="I33" s="7" t="s">
        <v>838</v>
      </c>
      <c r="J33" s="7" t="s">
        <v>218</v>
      </c>
      <c r="K33" s="9" t="s">
        <v>764</v>
      </c>
      <c r="L33" s="9"/>
      <c r="M33" s="9"/>
    </row>
    <row r="34" spans="1:13" ht="57" customHeight="1">
      <c r="A34" s="7" t="s">
        <v>839</v>
      </c>
      <c r="B34" s="7" t="s">
        <v>223</v>
      </c>
      <c r="C34" s="7" t="s">
        <v>219</v>
      </c>
      <c r="D34" s="8" t="s">
        <v>473</v>
      </c>
      <c r="E34" s="7" t="s">
        <v>829</v>
      </c>
      <c r="F34" s="8" t="s">
        <v>792</v>
      </c>
      <c r="G34" s="8" t="s">
        <v>621</v>
      </c>
      <c r="H34" s="8" t="s">
        <v>793</v>
      </c>
      <c r="I34" s="7" t="s">
        <v>830</v>
      </c>
      <c r="J34" s="7" t="s">
        <v>222</v>
      </c>
      <c r="K34" s="9" t="s">
        <v>764</v>
      </c>
      <c r="L34" s="9"/>
      <c r="M34" s="9"/>
    </row>
    <row r="35" spans="1:13" ht="57" customHeight="1">
      <c r="A35" s="7" t="s">
        <v>840</v>
      </c>
      <c r="B35" s="7" t="s">
        <v>226</v>
      </c>
      <c r="C35" s="7" t="s">
        <v>219</v>
      </c>
      <c r="D35" s="8" t="s">
        <v>393</v>
      </c>
      <c r="E35" s="7" t="s">
        <v>841</v>
      </c>
      <c r="F35" s="8" t="s">
        <v>799</v>
      </c>
      <c r="G35" s="8" t="s">
        <v>664</v>
      </c>
      <c r="H35" s="8" t="s">
        <v>800</v>
      </c>
      <c r="I35" s="7" t="s">
        <v>842</v>
      </c>
      <c r="J35" s="7" t="s">
        <v>225</v>
      </c>
      <c r="K35" s="9" t="s">
        <v>764</v>
      </c>
      <c r="L35" s="9"/>
      <c r="M35" s="9"/>
    </row>
    <row r="36" spans="1:13" ht="57" customHeight="1">
      <c r="A36" s="7" t="s">
        <v>843</v>
      </c>
      <c r="B36" s="7" t="s">
        <v>230</v>
      </c>
      <c r="C36" s="7" t="s">
        <v>229</v>
      </c>
      <c r="D36" s="8" t="s">
        <v>473</v>
      </c>
      <c r="E36" s="7" t="s">
        <v>829</v>
      </c>
      <c r="F36" s="8" t="s">
        <v>792</v>
      </c>
      <c r="G36" s="8" t="s">
        <v>621</v>
      </c>
      <c r="H36" s="8" t="s">
        <v>793</v>
      </c>
      <c r="I36" s="7" t="s">
        <v>844</v>
      </c>
      <c r="J36" s="7" t="s">
        <v>228</v>
      </c>
      <c r="K36" s="9" t="s">
        <v>764</v>
      </c>
      <c r="L36" s="9"/>
      <c r="M36" s="9"/>
    </row>
    <row r="37" spans="1:13" ht="57" customHeight="1">
      <c r="A37" s="7" t="s">
        <v>845</v>
      </c>
      <c r="B37" s="7" t="s">
        <v>233</v>
      </c>
      <c r="C37" s="7" t="s">
        <v>229</v>
      </c>
      <c r="D37" s="8" t="s">
        <v>473</v>
      </c>
      <c r="E37" s="7" t="s">
        <v>835</v>
      </c>
      <c r="F37" s="8" t="s">
        <v>792</v>
      </c>
      <c r="G37" s="8" t="s">
        <v>621</v>
      </c>
      <c r="H37" s="8" t="s">
        <v>793</v>
      </c>
      <c r="I37" s="7" t="s">
        <v>844</v>
      </c>
      <c r="J37" s="7" t="s">
        <v>232</v>
      </c>
      <c r="K37" s="9" t="s">
        <v>764</v>
      </c>
      <c r="L37" s="9"/>
      <c r="M37" s="9"/>
    </row>
    <row r="38" spans="1:13" ht="57" customHeight="1">
      <c r="A38" s="7" t="s">
        <v>846</v>
      </c>
      <c r="B38" s="7" t="s">
        <v>236</v>
      </c>
      <c r="C38" s="7" t="s">
        <v>229</v>
      </c>
      <c r="D38" s="8" t="s">
        <v>393</v>
      </c>
      <c r="E38" s="7" t="s">
        <v>796</v>
      </c>
      <c r="F38" s="8" t="s">
        <v>792</v>
      </c>
      <c r="G38" s="8" t="s">
        <v>621</v>
      </c>
      <c r="H38" s="8" t="s">
        <v>793</v>
      </c>
      <c r="I38" s="7" t="s">
        <v>847</v>
      </c>
      <c r="J38" s="7" t="s">
        <v>235</v>
      </c>
      <c r="K38" s="9" t="s">
        <v>764</v>
      </c>
      <c r="L38" s="9"/>
      <c r="M38" s="9"/>
    </row>
    <row r="39" spans="1:13" ht="57" customHeight="1">
      <c r="A39" s="7" t="s">
        <v>848</v>
      </c>
      <c r="B39" s="7" t="s">
        <v>239</v>
      </c>
      <c r="C39" s="7" t="s">
        <v>229</v>
      </c>
      <c r="D39" s="8" t="s">
        <v>393</v>
      </c>
      <c r="E39" s="7" t="s">
        <v>791</v>
      </c>
      <c r="F39" s="8" t="s">
        <v>792</v>
      </c>
      <c r="G39" s="8" t="s">
        <v>621</v>
      </c>
      <c r="H39" s="8" t="s">
        <v>793</v>
      </c>
      <c r="I39" s="7" t="s">
        <v>849</v>
      </c>
      <c r="J39" s="7" t="s">
        <v>238</v>
      </c>
      <c r="K39" s="9" t="s">
        <v>764</v>
      </c>
      <c r="L39" s="9"/>
      <c r="M39" s="9"/>
    </row>
    <row r="40" spans="1:13" ht="57" customHeight="1">
      <c r="A40" s="7" t="s">
        <v>850</v>
      </c>
      <c r="B40" s="7" t="s">
        <v>242</v>
      </c>
      <c r="C40" s="7" t="s">
        <v>229</v>
      </c>
      <c r="D40" s="8" t="s">
        <v>393</v>
      </c>
      <c r="E40" s="7" t="s">
        <v>851</v>
      </c>
      <c r="F40" s="8" t="s">
        <v>792</v>
      </c>
      <c r="G40" s="8" t="s">
        <v>621</v>
      </c>
      <c r="H40" s="8" t="s">
        <v>793</v>
      </c>
      <c r="I40" s="7" t="s">
        <v>847</v>
      </c>
      <c r="J40" s="7" t="s">
        <v>241</v>
      </c>
      <c r="K40" s="9" t="s">
        <v>764</v>
      </c>
      <c r="L40" s="9"/>
      <c r="M40" s="9"/>
    </row>
    <row r="41" spans="1:13" ht="57" customHeight="1">
      <c r="A41" s="7" t="s">
        <v>852</v>
      </c>
      <c r="B41" s="7" t="s">
        <v>245</v>
      </c>
      <c r="C41" s="7" t="s">
        <v>229</v>
      </c>
      <c r="D41" s="8" t="s">
        <v>393</v>
      </c>
      <c r="E41" s="7" t="s">
        <v>851</v>
      </c>
      <c r="F41" s="8" t="s">
        <v>792</v>
      </c>
      <c r="G41" s="8" t="s">
        <v>621</v>
      </c>
      <c r="H41" s="8" t="s">
        <v>793</v>
      </c>
      <c r="I41" s="7" t="s">
        <v>847</v>
      </c>
      <c r="J41" s="7" t="s">
        <v>244</v>
      </c>
      <c r="K41" s="9" t="s">
        <v>764</v>
      </c>
      <c r="L41" s="9"/>
      <c r="M41" s="9"/>
    </row>
    <row r="42" spans="1:13" ht="57" customHeight="1">
      <c r="A42" s="7" t="s">
        <v>853</v>
      </c>
      <c r="B42" s="7" t="s">
        <v>248</v>
      </c>
      <c r="C42" s="7" t="s">
        <v>229</v>
      </c>
      <c r="D42" s="8" t="s">
        <v>473</v>
      </c>
      <c r="E42" s="7" t="s">
        <v>854</v>
      </c>
      <c r="F42" s="8" t="s">
        <v>792</v>
      </c>
      <c r="G42" s="8" t="s">
        <v>621</v>
      </c>
      <c r="H42" s="8" t="s">
        <v>793</v>
      </c>
      <c r="I42" s="7" t="s">
        <v>844</v>
      </c>
      <c r="J42" s="7" t="s">
        <v>247</v>
      </c>
      <c r="K42" s="9" t="s">
        <v>764</v>
      </c>
      <c r="L42" s="9"/>
      <c r="M42" s="9"/>
    </row>
    <row r="43" spans="1:13" ht="57" customHeight="1">
      <c r="A43" s="7" t="s">
        <v>855</v>
      </c>
      <c r="B43" s="7" t="s">
        <v>252</v>
      </c>
      <c r="C43" s="7" t="s">
        <v>251</v>
      </c>
      <c r="D43" s="8" t="s">
        <v>473</v>
      </c>
      <c r="E43" s="7" t="s">
        <v>667</v>
      </c>
      <c r="F43" s="8" t="s">
        <v>799</v>
      </c>
      <c r="G43" s="8" t="s">
        <v>621</v>
      </c>
      <c r="H43" s="8" t="s">
        <v>800</v>
      </c>
      <c r="I43" s="7" t="s">
        <v>803</v>
      </c>
      <c r="J43" s="7" t="s">
        <v>250</v>
      </c>
      <c r="K43" s="9" t="s">
        <v>764</v>
      </c>
      <c r="L43" s="9"/>
      <c r="M43" s="9"/>
    </row>
    <row r="44" spans="1:13" ht="57" customHeight="1">
      <c r="A44" s="7" t="s">
        <v>856</v>
      </c>
      <c r="B44" s="7" t="s">
        <v>255</v>
      </c>
      <c r="C44" s="7" t="s">
        <v>251</v>
      </c>
      <c r="D44" s="8" t="s">
        <v>857</v>
      </c>
      <c r="E44" s="7" t="s">
        <v>858</v>
      </c>
      <c r="F44" s="8" t="s">
        <v>859</v>
      </c>
      <c r="G44" s="8" t="s">
        <v>621</v>
      </c>
      <c r="H44" s="8" t="s">
        <v>860</v>
      </c>
      <c r="I44" s="7" t="s">
        <v>861</v>
      </c>
      <c r="J44" s="7" t="s">
        <v>254</v>
      </c>
      <c r="K44" s="9" t="s">
        <v>764</v>
      </c>
      <c r="L44" s="9"/>
      <c r="M44" s="9"/>
    </row>
    <row r="45" spans="1:13" ht="57" customHeight="1">
      <c r="A45" s="7" t="s">
        <v>862</v>
      </c>
      <c r="B45" s="7" t="s">
        <v>258</v>
      </c>
      <c r="C45" s="7" t="s">
        <v>251</v>
      </c>
      <c r="D45" s="8" t="s">
        <v>368</v>
      </c>
      <c r="E45" s="7" t="s">
        <v>863</v>
      </c>
      <c r="F45" s="8" t="s">
        <v>859</v>
      </c>
      <c r="G45" s="8" t="s">
        <v>621</v>
      </c>
      <c r="H45" s="8" t="s">
        <v>860</v>
      </c>
      <c r="I45" s="7" t="s">
        <v>864</v>
      </c>
      <c r="J45" s="7" t="s">
        <v>257</v>
      </c>
      <c r="K45" s="9" t="s">
        <v>764</v>
      </c>
      <c r="L45" s="9"/>
      <c r="M45" s="9"/>
    </row>
    <row r="46" spans="1:13" ht="57" customHeight="1">
      <c r="A46" s="7" t="s">
        <v>865</v>
      </c>
      <c r="B46" s="7" t="s">
        <v>261</v>
      </c>
      <c r="C46" s="7" t="s">
        <v>251</v>
      </c>
      <c r="D46" s="8" t="s">
        <v>473</v>
      </c>
      <c r="E46" s="7" t="s">
        <v>854</v>
      </c>
      <c r="F46" s="8" t="s">
        <v>792</v>
      </c>
      <c r="G46" s="8" t="s">
        <v>621</v>
      </c>
      <c r="H46" s="8" t="s">
        <v>793</v>
      </c>
      <c r="I46" s="7" t="s">
        <v>830</v>
      </c>
      <c r="J46" s="7" t="s">
        <v>260</v>
      </c>
      <c r="K46" s="9" t="s">
        <v>764</v>
      </c>
      <c r="L46" s="9"/>
      <c r="M46" s="9"/>
    </row>
    <row r="47" spans="1:13" ht="45" customHeight="1">
      <c r="A47" s="7" t="s">
        <v>866</v>
      </c>
      <c r="B47" s="7" t="s">
        <v>264</v>
      </c>
      <c r="C47" s="7" t="s">
        <v>251</v>
      </c>
      <c r="D47" s="8" t="s">
        <v>772</v>
      </c>
      <c r="E47" s="7" t="s">
        <v>761</v>
      </c>
      <c r="F47" s="8" t="s">
        <v>773</v>
      </c>
      <c r="G47" s="8" t="s">
        <v>679</v>
      </c>
      <c r="H47" s="8" t="s">
        <v>774</v>
      </c>
      <c r="I47" s="7" t="s">
        <v>115</v>
      </c>
      <c r="J47" s="7" t="s">
        <v>263</v>
      </c>
      <c r="K47" s="9" t="s">
        <v>764</v>
      </c>
      <c r="L47" s="9"/>
      <c r="M47" s="9"/>
    </row>
    <row r="48" spans="1:13" ht="45" customHeight="1">
      <c r="A48" s="7" t="s">
        <v>867</v>
      </c>
      <c r="B48" s="7" t="s">
        <v>267</v>
      </c>
      <c r="C48" s="7" t="s">
        <v>251</v>
      </c>
      <c r="D48" s="8" t="s">
        <v>473</v>
      </c>
      <c r="E48" s="7" t="s">
        <v>868</v>
      </c>
      <c r="F48" s="8" t="s">
        <v>788</v>
      </c>
      <c r="G48" s="8" t="s">
        <v>664</v>
      </c>
      <c r="H48" s="8" t="s">
        <v>869</v>
      </c>
      <c r="I48" s="7" t="s">
        <v>870</v>
      </c>
      <c r="J48" s="7" t="s">
        <v>266</v>
      </c>
      <c r="K48" s="9" t="s">
        <v>764</v>
      </c>
      <c r="L48" s="9"/>
      <c r="M48" s="9"/>
    </row>
    <row r="49" spans="1:13" ht="57" customHeight="1">
      <c r="A49" s="7" t="s">
        <v>871</v>
      </c>
      <c r="B49" s="7" t="s">
        <v>270</v>
      </c>
      <c r="C49" s="7" t="s">
        <v>251</v>
      </c>
      <c r="D49" s="8" t="s">
        <v>368</v>
      </c>
      <c r="E49" s="7" t="s">
        <v>872</v>
      </c>
      <c r="F49" s="8" t="s">
        <v>859</v>
      </c>
      <c r="G49" s="8" t="s">
        <v>621</v>
      </c>
      <c r="H49" s="8" t="s">
        <v>860</v>
      </c>
      <c r="I49" s="7" t="s">
        <v>861</v>
      </c>
      <c r="J49" s="7" t="s">
        <v>269</v>
      </c>
      <c r="K49" s="9" t="s">
        <v>764</v>
      </c>
      <c r="L49" s="9"/>
      <c r="M49" s="9"/>
    </row>
    <row r="50" spans="1:13" ht="57" customHeight="1">
      <c r="A50" s="7" t="s">
        <v>873</v>
      </c>
      <c r="B50" s="7" t="s">
        <v>273</v>
      </c>
      <c r="C50" s="7" t="s">
        <v>251</v>
      </c>
      <c r="D50" s="8" t="s">
        <v>378</v>
      </c>
      <c r="E50" s="7" t="s">
        <v>874</v>
      </c>
      <c r="F50" s="8" t="s">
        <v>875</v>
      </c>
      <c r="G50" s="8" t="s">
        <v>621</v>
      </c>
      <c r="H50" s="8" t="s">
        <v>876</v>
      </c>
      <c r="I50" s="7" t="s">
        <v>785</v>
      </c>
      <c r="J50" s="7" t="s">
        <v>272</v>
      </c>
      <c r="K50" s="9" t="s">
        <v>764</v>
      </c>
      <c r="L50" s="9"/>
      <c r="M50" s="9"/>
    </row>
    <row r="51" spans="1:13" ht="45" customHeight="1">
      <c r="A51" s="7" t="s">
        <v>877</v>
      </c>
      <c r="B51" s="7" t="s">
        <v>276</v>
      </c>
      <c r="C51" s="7" t="s">
        <v>276</v>
      </c>
      <c r="D51" s="8" t="s">
        <v>772</v>
      </c>
      <c r="E51" s="7" t="s">
        <v>761</v>
      </c>
      <c r="F51" s="8" t="s">
        <v>773</v>
      </c>
      <c r="G51" s="8" t="s">
        <v>679</v>
      </c>
      <c r="H51" s="8" t="s">
        <v>774</v>
      </c>
      <c r="I51" s="7" t="s">
        <v>115</v>
      </c>
      <c r="J51" s="7" t="s">
        <v>275</v>
      </c>
      <c r="K51" s="9" t="s">
        <v>764</v>
      </c>
      <c r="L51" s="9"/>
      <c r="M51" s="9"/>
    </row>
    <row r="52" spans="1:13" ht="57" customHeight="1">
      <c r="A52" s="7" t="s">
        <v>878</v>
      </c>
      <c r="B52" s="7" t="s">
        <v>280</v>
      </c>
      <c r="C52" s="7" t="s">
        <v>279</v>
      </c>
      <c r="D52" s="8" t="s">
        <v>393</v>
      </c>
      <c r="E52" s="7" t="s">
        <v>791</v>
      </c>
      <c r="F52" s="8" t="s">
        <v>792</v>
      </c>
      <c r="G52" s="8" t="s">
        <v>621</v>
      </c>
      <c r="H52" s="8" t="s">
        <v>793</v>
      </c>
      <c r="I52" s="7" t="s">
        <v>794</v>
      </c>
      <c r="J52" s="7" t="s">
        <v>278</v>
      </c>
      <c r="K52" s="9" t="s">
        <v>764</v>
      </c>
      <c r="L52" s="9"/>
      <c r="M52" s="9"/>
    </row>
    <row r="53" spans="1:13" ht="57" customHeight="1">
      <c r="A53" s="7" t="s">
        <v>879</v>
      </c>
      <c r="B53" s="7" t="s">
        <v>283</v>
      </c>
      <c r="C53" s="7" t="s">
        <v>279</v>
      </c>
      <c r="D53" s="8" t="s">
        <v>473</v>
      </c>
      <c r="E53" s="7" t="s">
        <v>835</v>
      </c>
      <c r="F53" s="8" t="s">
        <v>792</v>
      </c>
      <c r="G53" s="8" t="s">
        <v>621</v>
      </c>
      <c r="H53" s="8" t="s">
        <v>793</v>
      </c>
      <c r="I53" s="7" t="s">
        <v>830</v>
      </c>
      <c r="J53" s="7" t="s">
        <v>282</v>
      </c>
      <c r="K53" s="9" t="s">
        <v>764</v>
      </c>
      <c r="L53" s="9"/>
      <c r="M53" s="9"/>
    </row>
    <row r="54" spans="1:13" ht="57" customHeight="1">
      <c r="A54" s="7" t="s">
        <v>880</v>
      </c>
      <c r="B54" s="7" t="s">
        <v>286</v>
      </c>
      <c r="C54" s="7" t="s">
        <v>279</v>
      </c>
      <c r="D54" s="8" t="s">
        <v>473</v>
      </c>
      <c r="E54" s="7" t="s">
        <v>829</v>
      </c>
      <c r="F54" s="8" t="s">
        <v>792</v>
      </c>
      <c r="G54" s="8" t="s">
        <v>621</v>
      </c>
      <c r="H54" s="8" t="s">
        <v>793</v>
      </c>
      <c r="I54" s="7" t="s">
        <v>830</v>
      </c>
      <c r="J54" s="7" t="s">
        <v>285</v>
      </c>
      <c r="K54" s="9" t="s">
        <v>764</v>
      </c>
      <c r="L54" s="9"/>
      <c r="M54" s="9"/>
    </row>
    <row r="55" spans="1:13" ht="57" customHeight="1">
      <c r="A55" s="7" t="s">
        <v>881</v>
      </c>
      <c r="B55" s="7" t="s">
        <v>289</v>
      </c>
      <c r="C55" s="7" t="s">
        <v>279</v>
      </c>
      <c r="D55" s="8" t="s">
        <v>473</v>
      </c>
      <c r="E55" s="7" t="s">
        <v>854</v>
      </c>
      <c r="F55" s="8" t="s">
        <v>792</v>
      </c>
      <c r="G55" s="8" t="s">
        <v>621</v>
      </c>
      <c r="H55" s="8" t="s">
        <v>793</v>
      </c>
      <c r="I55" s="7" t="s">
        <v>830</v>
      </c>
      <c r="J55" s="7" t="s">
        <v>288</v>
      </c>
      <c r="K55" s="9" t="s">
        <v>764</v>
      </c>
      <c r="L55" s="9"/>
      <c r="M55" s="9"/>
    </row>
    <row r="56" spans="1:13" ht="57" customHeight="1">
      <c r="A56" s="7" t="s">
        <v>882</v>
      </c>
      <c r="B56" s="7" t="s">
        <v>293</v>
      </c>
      <c r="C56" s="7" t="s">
        <v>292</v>
      </c>
      <c r="D56" s="8" t="s">
        <v>393</v>
      </c>
      <c r="E56" s="7" t="s">
        <v>791</v>
      </c>
      <c r="F56" s="8" t="s">
        <v>792</v>
      </c>
      <c r="G56" s="8" t="s">
        <v>621</v>
      </c>
      <c r="H56" s="8" t="s">
        <v>793</v>
      </c>
      <c r="I56" s="7" t="s">
        <v>794</v>
      </c>
      <c r="J56" s="7" t="s">
        <v>291</v>
      </c>
      <c r="K56" s="9" t="s">
        <v>764</v>
      </c>
      <c r="L56" s="9"/>
      <c r="M56" s="9"/>
    </row>
    <row r="57" spans="1:13" ht="57" customHeight="1">
      <c r="A57" s="7" t="s">
        <v>883</v>
      </c>
      <c r="B57" s="7" t="s">
        <v>297</v>
      </c>
      <c r="C57" s="7" t="s">
        <v>296</v>
      </c>
      <c r="D57" s="8" t="s">
        <v>393</v>
      </c>
      <c r="E57" s="7" t="s">
        <v>796</v>
      </c>
      <c r="F57" s="8" t="s">
        <v>792</v>
      </c>
      <c r="G57" s="8" t="s">
        <v>621</v>
      </c>
      <c r="H57" s="8" t="s">
        <v>793</v>
      </c>
      <c r="I57" s="7" t="s">
        <v>797</v>
      </c>
      <c r="J57" s="7" t="s">
        <v>295</v>
      </c>
      <c r="K57" s="9" t="s">
        <v>764</v>
      </c>
      <c r="L57" s="9"/>
      <c r="M57" s="9"/>
    </row>
    <row r="58" spans="1:13" ht="57" customHeight="1">
      <c r="A58" s="7" t="s">
        <v>884</v>
      </c>
      <c r="B58" s="7" t="s">
        <v>300</v>
      </c>
      <c r="C58" s="7" t="s">
        <v>296</v>
      </c>
      <c r="D58" s="8" t="s">
        <v>393</v>
      </c>
      <c r="E58" s="7" t="s">
        <v>885</v>
      </c>
      <c r="F58" s="8" t="s">
        <v>799</v>
      </c>
      <c r="G58" s="8" t="s">
        <v>621</v>
      </c>
      <c r="H58" s="8" t="s">
        <v>800</v>
      </c>
      <c r="I58" s="7" t="s">
        <v>886</v>
      </c>
      <c r="J58" s="7" t="s">
        <v>299</v>
      </c>
      <c r="K58" s="9" t="s">
        <v>764</v>
      </c>
      <c r="L58" s="9"/>
      <c r="M58" s="9"/>
    </row>
    <row r="59" spans="1:13" ht="57" customHeight="1">
      <c r="A59" s="7" t="s">
        <v>887</v>
      </c>
      <c r="B59" s="7" t="s">
        <v>303</v>
      </c>
      <c r="C59" s="7" t="s">
        <v>296</v>
      </c>
      <c r="D59" s="8" t="s">
        <v>473</v>
      </c>
      <c r="E59" s="7" t="s">
        <v>835</v>
      </c>
      <c r="F59" s="8" t="s">
        <v>792</v>
      </c>
      <c r="G59" s="8" t="s">
        <v>621</v>
      </c>
      <c r="H59" s="8" t="s">
        <v>793</v>
      </c>
      <c r="I59" s="7" t="s">
        <v>830</v>
      </c>
      <c r="J59" s="7" t="s">
        <v>302</v>
      </c>
      <c r="K59" s="9" t="s">
        <v>764</v>
      </c>
      <c r="L59" s="9"/>
      <c r="M59" s="9"/>
    </row>
    <row r="60" spans="1:13" ht="45" customHeight="1">
      <c r="A60" s="7" t="s">
        <v>888</v>
      </c>
      <c r="B60" s="7" t="s">
        <v>307</v>
      </c>
      <c r="C60" s="7" t="s">
        <v>889</v>
      </c>
      <c r="D60" s="8" t="s">
        <v>393</v>
      </c>
      <c r="E60" s="7" t="s">
        <v>796</v>
      </c>
      <c r="F60" s="8" t="s">
        <v>890</v>
      </c>
      <c r="G60" s="8" t="s">
        <v>891</v>
      </c>
      <c r="H60" s="8" t="s">
        <v>892</v>
      </c>
      <c r="I60" s="7" t="s">
        <v>108</v>
      </c>
      <c r="J60" s="7" t="s">
        <v>893</v>
      </c>
      <c r="K60" s="9" t="s">
        <v>764</v>
      </c>
      <c r="L60" s="9"/>
      <c r="M60" s="9"/>
    </row>
    <row r="61" spans="1:13" ht="45" customHeight="1">
      <c r="A61" s="7" t="s">
        <v>894</v>
      </c>
      <c r="B61" s="7" t="s">
        <v>332</v>
      </c>
      <c r="C61" s="7" t="s">
        <v>331</v>
      </c>
      <c r="D61" s="8" t="s">
        <v>473</v>
      </c>
      <c r="E61" s="7" t="s">
        <v>895</v>
      </c>
      <c r="F61" s="8" t="s">
        <v>890</v>
      </c>
      <c r="G61" s="8" t="s">
        <v>891</v>
      </c>
      <c r="H61" s="8" t="s">
        <v>896</v>
      </c>
      <c r="I61" s="7" t="s">
        <v>897</v>
      </c>
      <c r="J61" s="7" t="s">
        <v>330</v>
      </c>
      <c r="K61" s="9" t="s">
        <v>764</v>
      </c>
      <c r="L61" s="9"/>
      <c r="M61" s="9"/>
    </row>
    <row r="62" spans="1:13" ht="45" customHeight="1">
      <c r="A62" s="7" t="s">
        <v>898</v>
      </c>
      <c r="B62" s="7" t="s">
        <v>335</v>
      </c>
      <c r="C62" s="7" t="s">
        <v>331</v>
      </c>
      <c r="D62" s="8" t="s">
        <v>473</v>
      </c>
      <c r="E62" s="7" t="s">
        <v>895</v>
      </c>
      <c r="F62" s="8" t="s">
        <v>890</v>
      </c>
      <c r="G62" s="8" t="s">
        <v>891</v>
      </c>
      <c r="H62" s="8" t="s">
        <v>896</v>
      </c>
      <c r="I62" s="7" t="s">
        <v>897</v>
      </c>
      <c r="J62" s="7" t="s">
        <v>334</v>
      </c>
      <c r="K62" s="9" t="s">
        <v>764</v>
      </c>
      <c r="L62" s="9"/>
      <c r="M62" s="9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</sheetData>
  <conditionalFormatting sqref="F7:K62">
    <cfRule type="containsText" dxfId="9" priority="1" operator="containsText" text="Blocked"/>
    <cfRule type="containsText" dxfId="8" priority="5" operator="containsText" text="Open"/>
  </conditionalFormatting>
  <dataValidations count="2">
    <dataValidation type="list" sqref="K7:K62" xr:uid="{00000000-0002-0000-0200-000000000000}">
      <formula1>"Proposed,Accepted,Needs revision,Deferred"</formula1>
    </dataValidation>
    <dataValidation type="list" sqref="G7:G62" xr:uid="{00000000-0002-0000-0200-000001000000}">
      <formula1>"Wave 1,Wave 2,Wave 3,Hold,Deferred"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5F8C"/>
  </sheetPr>
  <dimension ref="A1:O5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0" customWidth="1"/>
    <col min="2" max="2" width="24" customWidth="1"/>
    <col min="3" max="4" width="47" customWidth="1"/>
    <col min="5" max="5" width="56" customWidth="1"/>
    <col min="6" max="6" width="59" customWidth="1"/>
    <col min="7" max="7" width="56" customWidth="1"/>
    <col min="8" max="8" width="22" customWidth="1"/>
    <col min="9" max="12" width="26" customWidth="1"/>
    <col min="13" max="13" width="54" customWidth="1"/>
    <col min="14" max="14" width="22" customWidth="1"/>
    <col min="15" max="15" width="4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7.95" customHeight="1">
      <c r="A2" s="2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3.1" customHeight="1">
      <c r="A4" s="4" t="s">
        <v>37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33.950000000000003" customHeight="1">
      <c r="A6" s="6" t="s">
        <v>3</v>
      </c>
      <c r="B6" s="6" t="s">
        <v>899</v>
      </c>
      <c r="C6" s="6" t="s">
        <v>900</v>
      </c>
      <c r="D6" s="6" t="s">
        <v>901</v>
      </c>
      <c r="E6" s="6" t="s">
        <v>902</v>
      </c>
      <c r="F6" s="6" t="s">
        <v>903</v>
      </c>
      <c r="G6" s="6" t="s">
        <v>904</v>
      </c>
      <c r="H6" s="6" t="s">
        <v>95</v>
      </c>
      <c r="I6" s="6" t="s">
        <v>905</v>
      </c>
      <c r="J6" s="6" t="s">
        <v>906</v>
      </c>
      <c r="K6" s="6" t="s">
        <v>907</v>
      </c>
      <c r="L6" s="6" t="s">
        <v>908</v>
      </c>
      <c r="M6" s="6" t="s">
        <v>909</v>
      </c>
      <c r="N6" s="6" t="s">
        <v>910</v>
      </c>
      <c r="O6" s="6" t="s">
        <v>911</v>
      </c>
    </row>
    <row r="7" spans="1:15" ht="45" customHeight="1">
      <c r="A7" s="7" t="s">
        <v>912</v>
      </c>
      <c r="B7" s="7" t="s">
        <v>913</v>
      </c>
      <c r="C7" s="7" t="s">
        <v>914</v>
      </c>
      <c r="D7" s="7" t="s">
        <v>915</v>
      </c>
      <c r="E7" s="7" t="s">
        <v>916</v>
      </c>
      <c r="F7" s="8" t="s">
        <v>917</v>
      </c>
      <c r="G7" s="7" t="s">
        <v>918</v>
      </c>
      <c r="H7" s="7" t="s">
        <v>919</v>
      </c>
      <c r="I7" s="9"/>
      <c r="J7" s="9"/>
      <c r="K7" s="9"/>
      <c r="L7" s="9"/>
      <c r="M7" s="9"/>
      <c r="N7" s="9" t="s">
        <v>920</v>
      </c>
      <c r="O7" s="9"/>
    </row>
    <row r="8" spans="1:15" ht="57" customHeight="1">
      <c r="A8" s="7" t="s">
        <v>921</v>
      </c>
      <c r="B8" s="7" t="s">
        <v>913</v>
      </c>
      <c r="C8" s="7" t="s">
        <v>922</v>
      </c>
      <c r="D8" s="7" t="s">
        <v>923</v>
      </c>
      <c r="E8" s="7" t="s">
        <v>924</v>
      </c>
      <c r="F8" s="8" t="s">
        <v>925</v>
      </c>
      <c r="G8" s="7" t="s">
        <v>926</v>
      </c>
      <c r="H8" s="7" t="s">
        <v>919</v>
      </c>
      <c r="I8" s="9"/>
      <c r="J8" s="9"/>
      <c r="K8" s="9"/>
      <c r="L8" s="9"/>
      <c r="M8" s="9"/>
      <c r="N8" s="9" t="s">
        <v>920</v>
      </c>
      <c r="O8" s="9"/>
    </row>
    <row r="9" spans="1:15" ht="45" customHeight="1">
      <c r="A9" s="7" t="s">
        <v>927</v>
      </c>
      <c r="B9" s="7" t="s">
        <v>928</v>
      </c>
      <c r="C9" s="7" t="s">
        <v>929</v>
      </c>
      <c r="D9" s="7" t="s">
        <v>930</v>
      </c>
      <c r="E9" s="7" t="s">
        <v>931</v>
      </c>
      <c r="F9" s="8" t="s">
        <v>932</v>
      </c>
      <c r="G9" s="7" t="s">
        <v>933</v>
      </c>
      <c r="H9" s="7" t="s">
        <v>919</v>
      </c>
      <c r="I9" s="9"/>
      <c r="J9" s="9"/>
      <c r="K9" s="9"/>
      <c r="L9" s="9"/>
      <c r="M9" s="9"/>
      <c r="N9" s="9" t="s">
        <v>920</v>
      </c>
      <c r="O9" s="9"/>
    </row>
    <row r="10" spans="1:15" ht="45" customHeight="1">
      <c r="A10" s="7" t="s">
        <v>934</v>
      </c>
      <c r="B10" s="7" t="s">
        <v>928</v>
      </c>
      <c r="C10" s="7" t="s">
        <v>935</v>
      </c>
      <c r="D10" s="7" t="s">
        <v>936</v>
      </c>
      <c r="E10" s="7" t="s">
        <v>937</v>
      </c>
      <c r="F10" s="8" t="s">
        <v>938</v>
      </c>
      <c r="G10" s="7" t="s">
        <v>939</v>
      </c>
      <c r="H10" s="7" t="s">
        <v>919</v>
      </c>
      <c r="I10" s="9"/>
      <c r="J10" s="9"/>
      <c r="K10" s="9"/>
      <c r="L10" s="9"/>
      <c r="M10" s="9"/>
      <c r="N10" s="9" t="s">
        <v>920</v>
      </c>
      <c r="O10" s="9"/>
    </row>
    <row r="11" spans="1:15" ht="45" customHeight="1">
      <c r="A11" s="7" t="s">
        <v>940</v>
      </c>
      <c r="B11" s="7" t="s">
        <v>941</v>
      </c>
      <c r="C11" s="7" t="s">
        <v>942</v>
      </c>
      <c r="D11" s="7" t="s">
        <v>943</v>
      </c>
      <c r="E11" s="7" t="s">
        <v>944</v>
      </c>
      <c r="F11" s="8" t="s">
        <v>945</v>
      </c>
      <c r="G11" s="7" t="s">
        <v>946</v>
      </c>
      <c r="H11" s="7" t="s">
        <v>919</v>
      </c>
      <c r="I11" s="9"/>
      <c r="J11" s="9"/>
      <c r="K11" s="9"/>
      <c r="L11" s="9"/>
      <c r="M11" s="9"/>
      <c r="N11" s="9" t="s">
        <v>920</v>
      </c>
      <c r="O11" s="9"/>
    </row>
    <row r="12" spans="1:15" ht="45" customHeight="1">
      <c r="A12" s="7" t="s">
        <v>947</v>
      </c>
      <c r="B12" s="7" t="s">
        <v>941</v>
      </c>
      <c r="C12" s="7" t="s">
        <v>948</v>
      </c>
      <c r="D12" s="7" t="s">
        <v>949</v>
      </c>
      <c r="E12" s="7" t="s">
        <v>950</v>
      </c>
      <c r="F12" s="8" t="s">
        <v>951</v>
      </c>
      <c r="G12" s="7" t="s">
        <v>952</v>
      </c>
      <c r="H12" s="7" t="s">
        <v>919</v>
      </c>
      <c r="I12" s="9"/>
      <c r="J12" s="9"/>
      <c r="K12" s="9"/>
      <c r="L12" s="9"/>
      <c r="M12" s="9"/>
      <c r="N12" s="9" t="s">
        <v>920</v>
      </c>
      <c r="O12" s="9"/>
    </row>
    <row r="13" spans="1:15" ht="45" customHeight="1">
      <c r="A13" s="7" t="s">
        <v>953</v>
      </c>
      <c r="B13" s="7" t="s">
        <v>954</v>
      </c>
      <c r="C13" s="7" t="s">
        <v>955</v>
      </c>
      <c r="D13" s="7" t="s">
        <v>956</v>
      </c>
      <c r="E13" s="7" t="s">
        <v>957</v>
      </c>
      <c r="F13" s="8" t="s">
        <v>958</v>
      </c>
      <c r="G13" s="7" t="s">
        <v>959</v>
      </c>
      <c r="H13" s="7" t="s">
        <v>919</v>
      </c>
      <c r="I13" s="9"/>
      <c r="J13" s="9"/>
      <c r="K13" s="9"/>
      <c r="L13" s="9"/>
      <c r="M13" s="9"/>
      <c r="N13" s="9" t="s">
        <v>920</v>
      </c>
      <c r="O13" s="9"/>
    </row>
    <row r="14" spans="1:15" ht="45" customHeight="1">
      <c r="A14" s="7" t="s">
        <v>960</v>
      </c>
      <c r="B14" s="7" t="s">
        <v>954</v>
      </c>
      <c r="C14" s="7" t="s">
        <v>961</v>
      </c>
      <c r="D14" s="7" t="s">
        <v>962</v>
      </c>
      <c r="E14" s="7" t="s">
        <v>963</v>
      </c>
      <c r="F14" s="8" t="s">
        <v>964</v>
      </c>
      <c r="G14" s="7" t="s">
        <v>965</v>
      </c>
      <c r="H14" s="7" t="s">
        <v>919</v>
      </c>
      <c r="I14" s="9"/>
      <c r="J14" s="9"/>
      <c r="K14" s="9"/>
      <c r="L14" s="9"/>
      <c r="M14" s="9"/>
      <c r="N14" s="9" t="s">
        <v>920</v>
      </c>
      <c r="O14" s="9"/>
    </row>
    <row r="15" spans="1:15" ht="45" customHeight="1">
      <c r="A15" s="7" t="s">
        <v>966</v>
      </c>
      <c r="B15" s="7" t="s">
        <v>954</v>
      </c>
      <c r="C15" s="7" t="s">
        <v>967</v>
      </c>
      <c r="D15" s="7" t="s">
        <v>968</v>
      </c>
      <c r="E15" s="7" t="s">
        <v>969</v>
      </c>
      <c r="F15" s="8" t="s">
        <v>970</v>
      </c>
      <c r="G15" s="7" t="s">
        <v>971</v>
      </c>
      <c r="H15" s="7" t="s">
        <v>919</v>
      </c>
      <c r="I15" s="9"/>
      <c r="J15" s="9"/>
      <c r="K15" s="9"/>
      <c r="L15" s="9"/>
      <c r="M15" s="9"/>
      <c r="N15" s="9" t="s">
        <v>920</v>
      </c>
      <c r="O15" s="9"/>
    </row>
    <row r="16" spans="1:15" ht="45" customHeight="1">
      <c r="A16" s="7" t="s">
        <v>972</v>
      </c>
      <c r="B16" s="7" t="s">
        <v>973</v>
      </c>
      <c r="C16" s="7" t="s">
        <v>974</v>
      </c>
      <c r="D16" s="7" t="s">
        <v>975</v>
      </c>
      <c r="E16" s="7" t="s">
        <v>976</v>
      </c>
      <c r="F16" s="8" t="s">
        <v>977</v>
      </c>
      <c r="G16" s="7" t="s">
        <v>978</v>
      </c>
      <c r="H16" s="7" t="s">
        <v>919</v>
      </c>
      <c r="I16" s="9"/>
      <c r="J16" s="9"/>
      <c r="K16" s="9"/>
      <c r="L16" s="9"/>
      <c r="M16" s="9"/>
      <c r="N16" s="9" t="s">
        <v>920</v>
      </c>
      <c r="O16" s="9"/>
    </row>
    <row r="17" spans="1:15" ht="45" customHeight="1">
      <c r="A17" s="7" t="s">
        <v>979</v>
      </c>
      <c r="B17" s="7" t="s">
        <v>973</v>
      </c>
      <c r="C17" s="7" t="s">
        <v>980</v>
      </c>
      <c r="D17" s="7" t="s">
        <v>975</v>
      </c>
      <c r="E17" s="7" t="s">
        <v>976</v>
      </c>
      <c r="F17" s="8" t="s">
        <v>981</v>
      </c>
      <c r="G17" s="7" t="s">
        <v>982</v>
      </c>
      <c r="H17" s="7" t="s">
        <v>919</v>
      </c>
      <c r="I17" s="9"/>
      <c r="J17" s="9"/>
      <c r="K17" s="9"/>
      <c r="L17" s="9"/>
      <c r="M17" s="9"/>
      <c r="N17" s="9" t="s">
        <v>920</v>
      </c>
      <c r="O17" s="9"/>
    </row>
    <row r="18" spans="1:15" ht="45" customHeight="1">
      <c r="A18" s="7" t="s">
        <v>983</v>
      </c>
      <c r="B18" s="7" t="s">
        <v>973</v>
      </c>
      <c r="C18" s="7" t="s">
        <v>984</v>
      </c>
      <c r="D18" s="7" t="s">
        <v>975</v>
      </c>
      <c r="E18" s="7" t="s">
        <v>976</v>
      </c>
      <c r="F18" s="8" t="s">
        <v>981</v>
      </c>
      <c r="G18" s="7" t="s">
        <v>985</v>
      </c>
      <c r="H18" s="7" t="s">
        <v>919</v>
      </c>
      <c r="I18" s="9"/>
      <c r="J18" s="9"/>
      <c r="K18" s="9"/>
      <c r="L18" s="9"/>
      <c r="M18" s="9"/>
      <c r="N18" s="9" t="s">
        <v>920</v>
      </c>
      <c r="O18" s="9"/>
    </row>
    <row r="19" spans="1:15" ht="45" customHeight="1">
      <c r="A19" s="7" t="s">
        <v>986</v>
      </c>
      <c r="B19" s="7" t="s">
        <v>973</v>
      </c>
      <c r="C19" s="7" t="s">
        <v>987</v>
      </c>
      <c r="D19" s="7" t="s">
        <v>988</v>
      </c>
      <c r="E19" s="7" t="s">
        <v>989</v>
      </c>
      <c r="F19" s="8" t="s">
        <v>990</v>
      </c>
      <c r="G19" s="7" t="s">
        <v>991</v>
      </c>
      <c r="H19" s="7" t="s">
        <v>919</v>
      </c>
      <c r="I19" s="9"/>
      <c r="J19" s="9"/>
      <c r="K19" s="9"/>
      <c r="L19" s="9"/>
      <c r="M19" s="9"/>
      <c r="N19" s="9" t="s">
        <v>920</v>
      </c>
      <c r="O19" s="9"/>
    </row>
    <row r="20" spans="1:15" ht="45" customHeight="1">
      <c r="A20" s="7" t="s">
        <v>992</v>
      </c>
      <c r="B20" s="7" t="s">
        <v>993</v>
      </c>
      <c r="C20" s="7" t="s">
        <v>994</v>
      </c>
      <c r="D20" s="7" t="s">
        <v>995</v>
      </c>
      <c r="E20" s="7" t="s">
        <v>996</v>
      </c>
      <c r="F20" s="8" t="s">
        <v>997</v>
      </c>
      <c r="G20" s="7" t="s">
        <v>998</v>
      </c>
      <c r="H20" s="7" t="s">
        <v>999</v>
      </c>
      <c r="I20" s="9"/>
      <c r="J20" s="9"/>
      <c r="K20" s="9"/>
      <c r="L20" s="9"/>
      <c r="M20" s="9"/>
      <c r="N20" s="9" t="s">
        <v>920</v>
      </c>
      <c r="O20" s="9"/>
    </row>
    <row r="21" spans="1:15" ht="45" customHeight="1">
      <c r="A21" s="7" t="s">
        <v>1000</v>
      </c>
      <c r="B21" s="7" t="s">
        <v>993</v>
      </c>
      <c r="C21" s="7" t="s">
        <v>1001</v>
      </c>
      <c r="D21" s="7" t="s">
        <v>1002</v>
      </c>
      <c r="E21" s="7" t="s">
        <v>1003</v>
      </c>
      <c r="F21" s="8" t="s">
        <v>1004</v>
      </c>
      <c r="G21" s="7" t="s">
        <v>1005</v>
      </c>
      <c r="H21" s="7" t="s">
        <v>999</v>
      </c>
      <c r="I21" s="9"/>
      <c r="J21" s="9"/>
      <c r="K21" s="9"/>
      <c r="L21" s="9"/>
      <c r="M21" s="9"/>
      <c r="N21" s="9" t="s">
        <v>920</v>
      </c>
      <c r="O21" s="9"/>
    </row>
    <row r="22" spans="1:15" ht="45" customHeight="1">
      <c r="A22" s="7" t="s">
        <v>1006</v>
      </c>
      <c r="B22" s="7" t="s">
        <v>993</v>
      </c>
      <c r="C22" s="7" t="s">
        <v>1007</v>
      </c>
      <c r="D22" s="7" t="s">
        <v>1002</v>
      </c>
      <c r="E22" s="7" t="s">
        <v>1008</v>
      </c>
      <c r="F22" s="8" t="s">
        <v>1009</v>
      </c>
      <c r="G22" s="7" t="s">
        <v>1010</v>
      </c>
      <c r="H22" s="7" t="s">
        <v>999</v>
      </c>
      <c r="I22" s="9"/>
      <c r="J22" s="9"/>
      <c r="K22" s="9"/>
      <c r="L22" s="9"/>
      <c r="M22" s="9"/>
      <c r="N22" s="9" t="s">
        <v>920</v>
      </c>
      <c r="O22" s="9"/>
    </row>
    <row r="23" spans="1:15" ht="45" customHeight="1">
      <c r="A23" s="7" t="s">
        <v>1011</v>
      </c>
      <c r="B23" s="7" t="s">
        <v>1012</v>
      </c>
      <c r="C23" s="7" t="s">
        <v>1013</v>
      </c>
      <c r="D23" s="7" t="s">
        <v>1014</v>
      </c>
      <c r="E23" s="7" t="s">
        <v>1015</v>
      </c>
      <c r="F23" s="8" t="s">
        <v>1016</v>
      </c>
      <c r="G23" s="7" t="s">
        <v>1017</v>
      </c>
      <c r="H23" s="7" t="s">
        <v>920</v>
      </c>
      <c r="I23" s="9"/>
      <c r="J23" s="9"/>
      <c r="K23" s="9"/>
      <c r="L23" s="9"/>
      <c r="M23" s="9"/>
      <c r="N23" s="9" t="s">
        <v>920</v>
      </c>
      <c r="O23" s="9"/>
    </row>
    <row r="24" spans="1:15" ht="45" customHeight="1">
      <c r="A24" s="7" t="s">
        <v>1018</v>
      </c>
      <c r="B24" s="7" t="s">
        <v>1019</v>
      </c>
      <c r="C24" s="7" t="s">
        <v>1020</v>
      </c>
      <c r="D24" s="7" t="s">
        <v>1021</v>
      </c>
      <c r="E24" s="7" t="s">
        <v>1022</v>
      </c>
      <c r="F24" s="8" t="s">
        <v>1023</v>
      </c>
      <c r="G24" s="7" t="s">
        <v>1024</v>
      </c>
      <c r="H24" s="7" t="s">
        <v>920</v>
      </c>
      <c r="I24" s="9"/>
      <c r="J24" s="9"/>
      <c r="K24" s="9"/>
      <c r="L24" s="9"/>
      <c r="M24" s="9"/>
      <c r="N24" s="9" t="s">
        <v>920</v>
      </c>
      <c r="O24" s="9"/>
    </row>
    <row r="25" spans="1:15" ht="45" customHeight="1">
      <c r="A25" s="7" t="s">
        <v>1025</v>
      </c>
      <c r="B25" s="7" t="s">
        <v>1026</v>
      </c>
      <c r="C25" s="7" t="s">
        <v>1027</v>
      </c>
      <c r="D25" s="7" t="s">
        <v>1028</v>
      </c>
      <c r="E25" s="7" t="s">
        <v>1029</v>
      </c>
      <c r="F25" s="8" t="s">
        <v>1030</v>
      </c>
      <c r="G25" s="7" t="s">
        <v>1031</v>
      </c>
      <c r="H25" s="7" t="s">
        <v>999</v>
      </c>
      <c r="I25" s="9"/>
      <c r="J25" s="9"/>
      <c r="K25" s="9"/>
      <c r="L25" s="9"/>
      <c r="M25" s="9"/>
      <c r="N25" s="9" t="s">
        <v>920</v>
      </c>
      <c r="O25" s="9"/>
    </row>
    <row r="26" spans="1:15" ht="45" customHeight="1">
      <c r="A26" s="7" t="s">
        <v>1032</v>
      </c>
      <c r="B26" s="7" t="s">
        <v>1033</v>
      </c>
      <c r="C26" s="7" t="s">
        <v>1034</v>
      </c>
      <c r="D26" s="7" t="s">
        <v>1035</v>
      </c>
      <c r="E26" s="7" t="s">
        <v>1036</v>
      </c>
      <c r="F26" s="8" t="s">
        <v>1037</v>
      </c>
      <c r="G26" s="7" t="s">
        <v>1038</v>
      </c>
      <c r="H26" s="7" t="s">
        <v>999</v>
      </c>
      <c r="I26" s="9"/>
      <c r="J26" s="9"/>
      <c r="K26" s="9"/>
      <c r="L26" s="9"/>
      <c r="M26" s="9"/>
      <c r="N26" s="9" t="s">
        <v>920</v>
      </c>
      <c r="O26" s="9"/>
    </row>
    <row r="27" spans="1:15" ht="45" customHeight="1">
      <c r="A27" s="7" t="s">
        <v>1039</v>
      </c>
      <c r="B27" s="7" t="s">
        <v>1040</v>
      </c>
      <c r="C27" s="7" t="s">
        <v>1041</v>
      </c>
      <c r="D27" s="7" t="s">
        <v>1042</v>
      </c>
      <c r="E27" s="7" t="s">
        <v>1043</v>
      </c>
      <c r="F27" s="8" t="s">
        <v>1044</v>
      </c>
      <c r="G27" s="7" t="s">
        <v>1045</v>
      </c>
      <c r="H27" s="7" t="s">
        <v>999</v>
      </c>
      <c r="I27" s="9"/>
      <c r="J27" s="9"/>
      <c r="K27" s="9"/>
      <c r="L27" s="9"/>
      <c r="M27" s="9"/>
      <c r="N27" s="9" t="s">
        <v>920</v>
      </c>
      <c r="O27" s="9"/>
    </row>
    <row r="28" spans="1:15" ht="45" customHeight="1">
      <c r="A28" s="7" t="s">
        <v>1046</v>
      </c>
      <c r="B28" s="7" t="s">
        <v>1047</v>
      </c>
      <c r="C28" s="7" t="s">
        <v>1048</v>
      </c>
      <c r="D28" s="7" t="s">
        <v>1049</v>
      </c>
      <c r="E28" s="7" t="s">
        <v>1050</v>
      </c>
      <c r="F28" s="8" t="s">
        <v>1051</v>
      </c>
      <c r="G28" s="7" t="s">
        <v>1052</v>
      </c>
      <c r="H28" s="7" t="s">
        <v>999</v>
      </c>
      <c r="I28" s="9"/>
      <c r="J28" s="9"/>
      <c r="K28" s="9"/>
      <c r="L28" s="9"/>
      <c r="M28" s="9"/>
      <c r="N28" s="9" t="s">
        <v>920</v>
      </c>
      <c r="O28" s="9"/>
    </row>
    <row r="29" spans="1:15" ht="45" customHeight="1">
      <c r="A29" s="7" t="s">
        <v>1053</v>
      </c>
      <c r="B29" s="7" t="s">
        <v>1054</v>
      </c>
      <c r="C29" s="7" t="s">
        <v>1055</v>
      </c>
      <c r="D29" s="7" t="s">
        <v>1056</v>
      </c>
      <c r="E29" s="7" t="s">
        <v>1036</v>
      </c>
      <c r="F29" s="8" t="s">
        <v>1057</v>
      </c>
      <c r="G29" s="7" t="s">
        <v>1058</v>
      </c>
      <c r="H29" s="7" t="s">
        <v>999</v>
      </c>
      <c r="I29" s="9"/>
      <c r="J29" s="9"/>
      <c r="K29" s="9"/>
      <c r="L29" s="9"/>
      <c r="M29" s="9"/>
      <c r="N29" s="9" t="s">
        <v>920</v>
      </c>
      <c r="O29" s="9"/>
    </row>
    <row r="30" spans="1:15" ht="45" customHeight="1">
      <c r="A30" s="7" t="s">
        <v>1059</v>
      </c>
      <c r="B30" s="7" t="s">
        <v>1060</v>
      </c>
      <c r="C30" s="7" t="s">
        <v>1061</v>
      </c>
      <c r="D30" s="7" t="s">
        <v>1062</v>
      </c>
      <c r="E30" s="7" t="s">
        <v>1063</v>
      </c>
      <c r="F30" s="8" t="s">
        <v>1064</v>
      </c>
      <c r="G30" s="7" t="s">
        <v>1065</v>
      </c>
      <c r="H30" s="7" t="s">
        <v>919</v>
      </c>
      <c r="I30" s="9"/>
      <c r="J30" s="9"/>
      <c r="K30" s="9"/>
      <c r="L30" s="9"/>
      <c r="M30" s="9"/>
      <c r="N30" s="9" t="s">
        <v>920</v>
      </c>
      <c r="O30" s="9"/>
    </row>
    <row r="31" spans="1:15" ht="45" customHeight="1">
      <c r="A31" s="7" t="s">
        <v>1066</v>
      </c>
      <c r="B31" s="7" t="s">
        <v>1067</v>
      </c>
      <c r="C31" s="7" t="s">
        <v>1068</v>
      </c>
      <c r="D31" s="7" t="s">
        <v>1069</v>
      </c>
      <c r="E31" s="7" t="s">
        <v>1070</v>
      </c>
      <c r="F31" s="8" t="s">
        <v>1071</v>
      </c>
      <c r="G31" s="7" t="s">
        <v>1072</v>
      </c>
      <c r="H31" s="7" t="s">
        <v>999</v>
      </c>
      <c r="I31" s="9"/>
      <c r="J31" s="9"/>
      <c r="K31" s="9"/>
      <c r="L31" s="9"/>
      <c r="M31" s="9"/>
      <c r="N31" s="9" t="s">
        <v>920</v>
      </c>
      <c r="O31" s="9"/>
    </row>
    <row r="32" spans="1:15" ht="45" customHeight="1">
      <c r="A32" s="7" t="s">
        <v>1073</v>
      </c>
      <c r="B32" s="7" t="s">
        <v>1074</v>
      </c>
      <c r="C32" s="7" t="s">
        <v>1075</v>
      </c>
      <c r="D32" s="7" t="s">
        <v>1076</v>
      </c>
      <c r="E32" s="7" t="s">
        <v>1077</v>
      </c>
      <c r="F32" s="8" t="s">
        <v>1078</v>
      </c>
      <c r="G32" s="7" t="s">
        <v>1079</v>
      </c>
      <c r="H32" s="7" t="s">
        <v>919</v>
      </c>
      <c r="I32" s="9"/>
      <c r="J32" s="9"/>
      <c r="K32" s="9"/>
      <c r="L32" s="9"/>
      <c r="M32" s="9"/>
      <c r="N32" s="9" t="s">
        <v>920</v>
      </c>
      <c r="O32" s="9"/>
    </row>
    <row r="33" spans="1:15" ht="45" customHeight="1">
      <c r="A33" s="7" t="s">
        <v>1080</v>
      </c>
      <c r="B33" s="7" t="s">
        <v>1081</v>
      </c>
      <c r="C33" s="7" t="s">
        <v>1082</v>
      </c>
      <c r="D33" s="7" t="s">
        <v>1083</v>
      </c>
      <c r="E33" s="7" t="s">
        <v>1084</v>
      </c>
      <c r="F33" s="8" t="s">
        <v>1085</v>
      </c>
      <c r="G33" s="7" t="s">
        <v>1086</v>
      </c>
      <c r="H33" s="7" t="s">
        <v>919</v>
      </c>
      <c r="I33" s="9"/>
      <c r="J33" s="9"/>
      <c r="K33" s="9"/>
      <c r="L33" s="9"/>
      <c r="M33" s="9"/>
      <c r="N33" s="9" t="s">
        <v>920</v>
      </c>
      <c r="O33" s="9"/>
    </row>
    <row r="34" spans="1:15" ht="57" customHeight="1">
      <c r="A34" s="7" t="s">
        <v>1087</v>
      </c>
      <c r="B34" s="7" t="s">
        <v>1088</v>
      </c>
      <c r="C34" s="7" t="s">
        <v>1089</v>
      </c>
      <c r="D34" s="7" t="s">
        <v>1090</v>
      </c>
      <c r="E34" s="7" t="s">
        <v>1091</v>
      </c>
      <c r="F34" s="8" t="s">
        <v>1092</v>
      </c>
      <c r="G34" s="7" t="s">
        <v>1093</v>
      </c>
      <c r="H34" s="7" t="s">
        <v>919</v>
      </c>
      <c r="I34" s="9"/>
      <c r="J34" s="9"/>
      <c r="K34" s="9"/>
      <c r="L34" s="9"/>
      <c r="M34" s="9"/>
      <c r="N34" s="9" t="s">
        <v>920</v>
      </c>
      <c r="O34" s="9"/>
    </row>
    <row r="35" spans="1:15" ht="45" customHeight="1">
      <c r="A35" s="7" t="s">
        <v>1094</v>
      </c>
      <c r="B35" s="7" t="s">
        <v>1095</v>
      </c>
      <c r="C35" s="7" t="s">
        <v>1096</v>
      </c>
      <c r="D35" s="7" t="s">
        <v>1097</v>
      </c>
      <c r="E35" s="7" t="s">
        <v>1098</v>
      </c>
      <c r="F35" s="8" t="s">
        <v>1099</v>
      </c>
      <c r="G35" s="7" t="s">
        <v>1100</v>
      </c>
      <c r="H35" s="7" t="s">
        <v>999</v>
      </c>
      <c r="I35" s="9"/>
      <c r="J35" s="9"/>
      <c r="K35" s="9"/>
      <c r="L35" s="9"/>
      <c r="M35" s="9"/>
      <c r="N35" s="9" t="s">
        <v>920</v>
      </c>
      <c r="O35" s="9"/>
    </row>
    <row r="36" spans="1:15" ht="45" customHeight="1">
      <c r="A36" s="7" t="s">
        <v>1101</v>
      </c>
      <c r="B36" s="7" t="s">
        <v>1102</v>
      </c>
      <c r="C36" s="7" t="s">
        <v>1103</v>
      </c>
      <c r="D36" s="7" t="s">
        <v>1104</v>
      </c>
      <c r="E36" s="7" t="s">
        <v>1105</v>
      </c>
      <c r="F36" s="8" t="s">
        <v>1106</v>
      </c>
      <c r="G36" s="7" t="s">
        <v>1107</v>
      </c>
      <c r="H36" s="7" t="s">
        <v>999</v>
      </c>
      <c r="I36" s="9"/>
      <c r="J36" s="9"/>
      <c r="K36" s="9"/>
      <c r="L36" s="9"/>
      <c r="M36" s="9"/>
      <c r="N36" s="9" t="s">
        <v>920</v>
      </c>
      <c r="O36" s="9"/>
    </row>
    <row r="37" spans="1:15" ht="45" customHeight="1">
      <c r="A37" s="7" t="s">
        <v>1108</v>
      </c>
      <c r="B37" s="7" t="s">
        <v>1109</v>
      </c>
      <c r="C37" s="7" t="s">
        <v>1110</v>
      </c>
      <c r="D37" s="7" t="s">
        <v>1111</v>
      </c>
      <c r="E37" s="7" t="s">
        <v>1112</v>
      </c>
      <c r="F37" s="8" t="s">
        <v>1113</v>
      </c>
      <c r="G37" s="7" t="s">
        <v>1114</v>
      </c>
      <c r="H37" s="7" t="s">
        <v>999</v>
      </c>
      <c r="I37" s="9"/>
      <c r="J37" s="9"/>
      <c r="K37" s="9"/>
      <c r="L37" s="9"/>
      <c r="M37" s="9"/>
      <c r="N37" s="9" t="s">
        <v>920</v>
      </c>
      <c r="O37" s="9"/>
    </row>
    <row r="38" spans="1:15" ht="45" customHeight="1">
      <c r="A38" s="7" t="s">
        <v>1115</v>
      </c>
      <c r="B38" s="7" t="s">
        <v>1116</v>
      </c>
      <c r="C38" s="7" t="s">
        <v>1117</v>
      </c>
      <c r="D38" s="7" t="s">
        <v>1118</v>
      </c>
      <c r="E38" s="7" t="s">
        <v>1119</v>
      </c>
      <c r="F38" s="8" t="s">
        <v>1120</v>
      </c>
      <c r="G38" s="7" t="s">
        <v>1121</v>
      </c>
      <c r="H38" s="7" t="s">
        <v>919</v>
      </c>
      <c r="I38" s="9"/>
      <c r="J38" s="9"/>
      <c r="K38" s="9"/>
      <c r="L38" s="9"/>
      <c r="M38" s="9"/>
      <c r="N38" s="9" t="s">
        <v>920</v>
      </c>
      <c r="O38" s="9"/>
    </row>
    <row r="39" spans="1:15" ht="45" customHeight="1">
      <c r="A39" s="7" t="s">
        <v>1122</v>
      </c>
      <c r="B39" s="7" t="s">
        <v>1123</v>
      </c>
      <c r="C39" s="7" t="s">
        <v>1124</v>
      </c>
      <c r="D39" s="7" t="s">
        <v>1125</v>
      </c>
      <c r="E39" s="7" t="s">
        <v>1126</v>
      </c>
      <c r="F39" s="8" t="s">
        <v>1127</v>
      </c>
      <c r="G39" s="7" t="s">
        <v>1128</v>
      </c>
      <c r="H39" s="7" t="s">
        <v>919</v>
      </c>
      <c r="I39" s="9"/>
      <c r="J39" s="9"/>
      <c r="K39" s="9"/>
      <c r="L39" s="9"/>
      <c r="M39" s="9"/>
      <c r="N39" s="9" t="s">
        <v>920</v>
      </c>
      <c r="O39" s="9"/>
    </row>
    <row r="40" spans="1:15" ht="45" customHeight="1">
      <c r="A40" s="7" t="s">
        <v>1129</v>
      </c>
      <c r="B40" s="7" t="s">
        <v>1130</v>
      </c>
      <c r="C40" s="7" t="s">
        <v>1131</v>
      </c>
      <c r="D40" s="7" t="s">
        <v>1132</v>
      </c>
      <c r="E40" s="7" t="s">
        <v>1133</v>
      </c>
      <c r="F40" s="8" t="s">
        <v>1134</v>
      </c>
      <c r="G40" s="7" t="s">
        <v>1135</v>
      </c>
      <c r="H40" s="7" t="s">
        <v>999</v>
      </c>
      <c r="I40" s="9"/>
      <c r="J40" s="9"/>
      <c r="K40" s="9"/>
      <c r="L40" s="9"/>
      <c r="M40" s="9"/>
      <c r="N40" s="9" t="s">
        <v>920</v>
      </c>
      <c r="O40" s="9"/>
    </row>
    <row r="41" spans="1:15" ht="45" customHeight="1">
      <c r="A41" s="7" t="s">
        <v>1136</v>
      </c>
      <c r="B41" s="7" t="s">
        <v>1137</v>
      </c>
      <c r="C41" s="7" t="s">
        <v>1138</v>
      </c>
      <c r="D41" s="7" t="s">
        <v>1139</v>
      </c>
      <c r="E41" s="7" t="s">
        <v>1140</v>
      </c>
      <c r="F41" s="8" t="s">
        <v>1141</v>
      </c>
      <c r="G41" s="7" t="s">
        <v>1142</v>
      </c>
      <c r="H41" s="7" t="s">
        <v>999</v>
      </c>
      <c r="I41" s="9"/>
      <c r="J41" s="9"/>
      <c r="K41" s="9"/>
      <c r="L41" s="9"/>
      <c r="M41" s="9"/>
      <c r="N41" s="9" t="s">
        <v>920</v>
      </c>
      <c r="O41" s="9"/>
    </row>
    <row r="42" spans="1:15" ht="45" customHeight="1">
      <c r="A42" s="7" t="s">
        <v>1143</v>
      </c>
      <c r="B42" s="7" t="s">
        <v>1144</v>
      </c>
      <c r="C42" s="7" t="s">
        <v>1145</v>
      </c>
      <c r="D42" s="7" t="s">
        <v>1146</v>
      </c>
      <c r="E42" s="7" t="s">
        <v>1147</v>
      </c>
      <c r="F42" s="8" t="s">
        <v>1148</v>
      </c>
      <c r="G42" s="7" t="s">
        <v>1149</v>
      </c>
      <c r="H42" s="7" t="s">
        <v>999</v>
      </c>
      <c r="I42" s="9"/>
      <c r="J42" s="9"/>
      <c r="K42" s="9"/>
      <c r="L42" s="9"/>
      <c r="M42" s="9"/>
      <c r="N42" s="9" t="s">
        <v>920</v>
      </c>
      <c r="O42" s="9"/>
    </row>
    <row r="43" spans="1:15" ht="45" customHeight="1">
      <c r="A43" s="7" t="s">
        <v>1150</v>
      </c>
      <c r="B43" s="7" t="s">
        <v>1151</v>
      </c>
      <c r="C43" s="7" t="s">
        <v>1152</v>
      </c>
      <c r="D43" s="7" t="s">
        <v>1153</v>
      </c>
      <c r="E43" s="7" t="s">
        <v>1154</v>
      </c>
      <c r="F43" s="8" t="s">
        <v>1155</v>
      </c>
      <c r="G43" s="7" t="s">
        <v>1156</v>
      </c>
      <c r="H43" s="7" t="s">
        <v>919</v>
      </c>
      <c r="I43" s="9"/>
      <c r="J43" s="9"/>
      <c r="K43" s="9"/>
      <c r="L43" s="9"/>
      <c r="M43" s="9"/>
      <c r="N43" s="9" t="s">
        <v>920</v>
      </c>
      <c r="O43" s="9"/>
    </row>
    <row r="44" spans="1:15" ht="45" customHeight="1">
      <c r="A44" s="7" t="s">
        <v>1157</v>
      </c>
      <c r="B44" s="7" t="s">
        <v>1158</v>
      </c>
      <c r="C44" s="7" t="s">
        <v>1159</v>
      </c>
      <c r="D44" s="7" t="s">
        <v>1160</v>
      </c>
      <c r="E44" s="7" t="s">
        <v>1161</v>
      </c>
      <c r="F44" s="8" t="s">
        <v>1162</v>
      </c>
      <c r="G44" s="7" t="s">
        <v>1163</v>
      </c>
      <c r="H44" s="7" t="s">
        <v>999</v>
      </c>
      <c r="I44" s="9"/>
      <c r="J44" s="9"/>
      <c r="K44" s="9"/>
      <c r="L44" s="9"/>
      <c r="M44" s="9"/>
      <c r="N44" s="9" t="s">
        <v>920</v>
      </c>
      <c r="O44" s="9"/>
    </row>
    <row r="45" spans="1:15" ht="45" customHeight="1">
      <c r="A45" s="7" t="s">
        <v>1164</v>
      </c>
      <c r="B45" s="7" t="s">
        <v>1165</v>
      </c>
      <c r="C45" s="7" t="s">
        <v>1166</v>
      </c>
      <c r="D45" s="7" t="s">
        <v>1167</v>
      </c>
      <c r="E45" s="7" t="s">
        <v>1168</v>
      </c>
      <c r="F45" s="8" t="s">
        <v>1169</v>
      </c>
      <c r="G45" s="7" t="s">
        <v>1170</v>
      </c>
      <c r="H45" s="7" t="s">
        <v>919</v>
      </c>
      <c r="I45" s="9"/>
      <c r="J45" s="9"/>
      <c r="K45" s="9"/>
      <c r="L45" s="9"/>
      <c r="M45" s="9"/>
      <c r="N45" s="9" t="s">
        <v>920</v>
      </c>
      <c r="O45" s="9"/>
    </row>
    <row r="46" spans="1:15" ht="45" customHeight="1">
      <c r="A46" s="7" t="s">
        <v>1171</v>
      </c>
      <c r="B46" s="7" t="s">
        <v>1172</v>
      </c>
      <c r="C46" s="7" t="s">
        <v>1173</v>
      </c>
      <c r="D46" s="7" t="s">
        <v>1174</v>
      </c>
      <c r="E46" s="7" t="s">
        <v>1175</v>
      </c>
      <c r="F46" s="8" t="s">
        <v>1176</v>
      </c>
      <c r="G46" s="7" t="s">
        <v>1177</v>
      </c>
      <c r="H46" s="7" t="s">
        <v>999</v>
      </c>
      <c r="I46" s="9"/>
      <c r="J46" s="9"/>
      <c r="K46" s="9"/>
      <c r="L46" s="9"/>
      <c r="M46" s="9"/>
      <c r="N46" s="9" t="s">
        <v>920</v>
      </c>
      <c r="O46" s="9"/>
    </row>
    <row r="47" spans="1:15" ht="45" customHeight="1">
      <c r="A47" s="7" t="s">
        <v>1178</v>
      </c>
      <c r="B47" s="7" t="s">
        <v>1179</v>
      </c>
      <c r="C47" s="7" t="s">
        <v>1180</v>
      </c>
      <c r="D47" s="7" t="s">
        <v>1181</v>
      </c>
      <c r="E47" s="7" t="s">
        <v>1182</v>
      </c>
      <c r="F47" s="8" t="s">
        <v>1183</v>
      </c>
      <c r="G47" s="7" t="s">
        <v>1184</v>
      </c>
      <c r="H47" s="7" t="s">
        <v>919</v>
      </c>
      <c r="I47" s="9"/>
      <c r="J47" s="9"/>
      <c r="K47" s="9"/>
      <c r="L47" s="9"/>
      <c r="M47" s="9"/>
      <c r="N47" s="9" t="s">
        <v>920</v>
      </c>
      <c r="O47" s="9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</sheetData>
  <conditionalFormatting sqref="N7:N47">
    <cfRule type="containsText" dxfId="7" priority="1" operator="containsText" text="Blocked"/>
    <cfRule type="containsText" dxfId="6" priority="5" operator="containsText" text="Open"/>
  </conditionalFormatting>
  <dataValidations count="1">
    <dataValidation type="list" sqref="N7:N47" xr:uid="{00000000-0002-0000-0300-000000000000}">
      <formula1>"Unconfirmed,Confirmed,Needs correction,Not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15F8C"/>
  </sheetPr>
  <dimension ref="A1:O7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0" customWidth="1"/>
    <col min="2" max="2" width="29" customWidth="1"/>
    <col min="3" max="3" width="24" customWidth="1"/>
    <col min="4" max="4" width="27" customWidth="1"/>
    <col min="5" max="5" width="60" customWidth="1"/>
    <col min="6" max="6" width="56" customWidth="1"/>
    <col min="7" max="7" width="39" customWidth="1"/>
    <col min="8" max="8" width="33" customWidth="1"/>
    <col min="9" max="9" width="26" customWidth="1"/>
    <col min="10" max="10" width="25" customWidth="1"/>
    <col min="11" max="11" width="24" customWidth="1"/>
    <col min="12" max="13" width="19" customWidth="1"/>
    <col min="14" max="14" width="23" customWidth="1"/>
    <col min="15" max="15" width="43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7.95" customHeight="1">
      <c r="A2" s="2" t="s">
        <v>1185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3.1" customHeight="1">
      <c r="A4" s="4" t="s">
        <v>1186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33.950000000000003" customHeight="1">
      <c r="A6" s="6" t="s">
        <v>3</v>
      </c>
      <c r="B6" s="6" t="s">
        <v>899</v>
      </c>
      <c r="C6" s="6" t="s">
        <v>1187</v>
      </c>
      <c r="D6" s="6" t="s">
        <v>1188</v>
      </c>
      <c r="E6" s="6" t="s">
        <v>1189</v>
      </c>
      <c r="F6" s="6" t="s">
        <v>1190</v>
      </c>
      <c r="G6" s="6" t="s">
        <v>1191</v>
      </c>
      <c r="H6" s="6" t="s">
        <v>1192</v>
      </c>
      <c r="I6" s="6" t="s">
        <v>50</v>
      </c>
      <c r="J6" s="6" t="s">
        <v>1193</v>
      </c>
      <c r="K6" s="6" t="s">
        <v>1194</v>
      </c>
      <c r="L6" s="6" t="s">
        <v>1195</v>
      </c>
      <c r="M6" s="6" t="s">
        <v>1196</v>
      </c>
      <c r="N6" s="6" t="s">
        <v>1197</v>
      </c>
      <c r="O6" s="6" t="s">
        <v>68</v>
      </c>
    </row>
    <row r="7" spans="1:15" ht="45" customHeight="1">
      <c r="A7" s="7" t="s">
        <v>1198</v>
      </c>
      <c r="B7" s="7" t="s">
        <v>1095</v>
      </c>
      <c r="C7" s="7" t="s">
        <v>1199</v>
      </c>
      <c r="D7" s="8" t="s">
        <v>393</v>
      </c>
      <c r="E7" s="7" t="s">
        <v>1200</v>
      </c>
      <c r="F7" s="8" t="s">
        <v>1201</v>
      </c>
      <c r="G7" s="8" t="s">
        <v>1202</v>
      </c>
      <c r="H7" s="7" t="s">
        <v>1203</v>
      </c>
      <c r="I7" s="7" t="s">
        <v>1204</v>
      </c>
      <c r="J7" s="9"/>
      <c r="K7" s="9"/>
      <c r="L7" s="10"/>
      <c r="M7" s="10"/>
      <c r="N7" s="9" t="s">
        <v>764</v>
      </c>
      <c r="O7" s="9"/>
    </row>
    <row r="8" spans="1:15" ht="45" customHeight="1">
      <c r="A8" s="7" t="s">
        <v>1205</v>
      </c>
      <c r="B8" s="7" t="s">
        <v>1206</v>
      </c>
      <c r="C8" s="7" t="s">
        <v>1199</v>
      </c>
      <c r="D8" s="8" t="s">
        <v>393</v>
      </c>
      <c r="E8" s="7" t="s">
        <v>1207</v>
      </c>
      <c r="F8" s="8" t="s">
        <v>1208</v>
      </c>
      <c r="G8" s="8" t="s">
        <v>1209</v>
      </c>
      <c r="H8" s="7" t="s">
        <v>1210</v>
      </c>
      <c r="I8" s="7" t="s">
        <v>1211</v>
      </c>
      <c r="J8" s="9"/>
      <c r="K8" s="9"/>
      <c r="L8" s="10"/>
      <c r="M8" s="10"/>
      <c r="N8" s="9" t="s">
        <v>764</v>
      </c>
      <c r="O8" s="9"/>
    </row>
    <row r="9" spans="1:15" ht="45" customHeight="1">
      <c r="A9" s="7" t="s">
        <v>1212</v>
      </c>
      <c r="B9" s="7" t="s">
        <v>1213</v>
      </c>
      <c r="C9" s="7" t="s">
        <v>1199</v>
      </c>
      <c r="D9" s="8" t="s">
        <v>473</v>
      </c>
      <c r="E9" s="7" t="s">
        <v>1214</v>
      </c>
      <c r="F9" s="8" t="s">
        <v>1215</v>
      </c>
      <c r="G9" s="8" t="s">
        <v>1216</v>
      </c>
      <c r="H9" s="7" t="s">
        <v>1217</v>
      </c>
      <c r="I9" s="7" t="s">
        <v>830</v>
      </c>
      <c r="J9" s="9"/>
      <c r="K9" s="9"/>
      <c r="L9" s="10"/>
      <c r="M9" s="10"/>
      <c r="N9" s="9" t="s">
        <v>764</v>
      </c>
      <c r="O9" s="9"/>
    </row>
    <row r="10" spans="1:15" ht="45" customHeight="1">
      <c r="A10" s="7" t="s">
        <v>1218</v>
      </c>
      <c r="B10" s="7" t="s">
        <v>1144</v>
      </c>
      <c r="C10" s="7" t="s">
        <v>1199</v>
      </c>
      <c r="D10" s="8" t="s">
        <v>473</v>
      </c>
      <c r="E10" s="7" t="s">
        <v>1219</v>
      </c>
      <c r="F10" s="8" t="s">
        <v>1220</v>
      </c>
      <c r="G10" s="8" t="s">
        <v>1221</v>
      </c>
      <c r="H10" s="7" t="s">
        <v>1222</v>
      </c>
      <c r="I10" s="7" t="s">
        <v>830</v>
      </c>
      <c r="J10" s="9"/>
      <c r="K10" s="9"/>
      <c r="L10" s="10"/>
      <c r="M10" s="10"/>
      <c r="N10" s="9" t="s">
        <v>764</v>
      </c>
      <c r="O10" s="9"/>
    </row>
    <row r="11" spans="1:15" ht="45" customHeight="1">
      <c r="A11" s="7" t="s">
        <v>1223</v>
      </c>
      <c r="B11" s="7" t="s">
        <v>1224</v>
      </c>
      <c r="C11" s="7" t="s">
        <v>1199</v>
      </c>
      <c r="D11" s="8" t="s">
        <v>473</v>
      </c>
      <c r="E11" s="7" t="s">
        <v>1225</v>
      </c>
      <c r="F11" s="8" t="s">
        <v>1226</v>
      </c>
      <c r="G11" s="8" t="s">
        <v>1227</v>
      </c>
      <c r="H11" s="7" t="s">
        <v>1228</v>
      </c>
      <c r="I11" s="7" t="s">
        <v>830</v>
      </c>
      <c r="J11" s="9"/>
      <c r="K11" s="9"/>
      <c r="L11" s="10"/>
      <c r="M11" s="10"/>
      <c r="N11" s="9" t="s">
        <v>764</v>
      </c>
      <c r="O11" s="9"/>
    </row>
    <row r="12" spans="1:15" ht="45" customHeight="1">
      <c r="A12" s="7" t="s">
        <v>1229</v>
      </c>
      <c r="B12" s="7" t="s">
        <v>1230</v>
      </c>
      <c r="C12" s="7" t="s">
        <v>1199</v>
      </c>
      <c r="D12" s="8" t="s">
        <v>393</v>
      </c>
      <c r="E12" s="7" t="s">
        <v>1231</v>
      </c>
      <c r="F12" s="8" t="s">
        <v>1232</v>
      </c>
      <c r="G12" s="8" t="s">
        <v>1233</v>
      </c>
      <c r="H12" s="7" t="s">
        <v>1234</v>
      </c>
      <c r="I12" s="7" t="s">
        <v>1235</v>
      </c>
      <c r="J12" s="9"/>
      <c r="K12" s="9"/>
      <c r="L12" s="10"/>
      <c r="M12" s="10"/>
      <c r="N12" s="9" t="s">
        <v>764</v>
      </c>
      <c r="O12" s="9"/>
    </row>
    <row r="13" spans="1:15" ht="45" customHeight="1">
      <c r="A13" s="7" t="s">
        <v>1236</v>
      </c>
      <c r="B13" s="7" t="s">
        <v>1237</v>
      </c>
      <c r="C13" s="7" t="s">
        <v>1199</v>
      </c>
      <c r="D13" s="8" t="s">
        <v>393</v>
      </c>
      <c r="E13" s="7" t="s">
        <v>300</v>
      </c>
      <c r="F13" s="8" t="s">
        <v>1238</v>
      </c>
      <c r="G13" s="8" t="s">
        <v>1239</v>
      </c>
      <c r="H13" s="7" t="s">
        <v>299</v>
      </c>
      <c r="I13" s="7" t="s">
        <v>886</v>
      </c>
      <c r="J13" s="9"/>
      <c r="K13" s="9"/>
      <c r="L13" s="10"/>
      <c r="M13" s="10"/>
      <c r="N13" s="9" t="s">
        <v>764</v>
      </c>
      <c r="O13" s="9"/>
    </row>
    <row r="14" spans="1:15" ht="45" customHeight="1">
      <c r="A14" s="7" t="s">
        <v>1240</v>
      </c>
      <c r="B14" s="7" t="s">
        <v>1172</v>
      </c>
      <c r="C14" s="7" t="s">
        <v>1199</v>
      </c>
      <c r="D14" s="8" t="s">
        <v>393</v>
      </c>
      <c r="E14" s="7" t="s">
        <v>1241</v>
      </c>
      <c r="F14" s="8" t="s">
        <v>1242</v>
      </c>
      <c r="G14" s="8" t="s">
        <v>1243</v>
      </c>
      <c r="H14" s="7" t="s">
        <v>218</v>
      </c>
      <c r="I14" s="7" t="s">
        <v>838</v>
      </c>
      <c r="J14" s="9"/>
      <c r="K14" s="9"/>
      <c r="L14" s="10"/>
      <c r="M14" s="10"/>
      <c r="N14" s="9" t="s">
        <v>764</v>
      </c>
      <c r="O14" s="9"/>
    </row>
    <row r="15" spans="1:15" ht="45" customHeight="1">
      <c r="A15" s="7" t="s">
        <v>1244</v>
      </c>
      <c r="B15" s="7" t="s">
        <v>1179</v>
      </c>
      <c r="C15" s="7" t="s">
        <v>1199</v>
      </c>
      <c r="D15" s="8" t="s">
        <v>393</v>
      </c>
      <c r="E15" s="7" t="s">
        <v>1245</v>
      </c>
      <c r="F15" s="8" t="s">
        <v>1246</v>
      </c>
      <c r="G15" s="8" t="s">
        <v>1247</v>
      </c>
      <c r="H15" s="7" t="s">
        <v>225</v>
      </c>
      <c r="I15" s="7" t="s">
        <v>838</v>
      </c>
      <c r="J15" s="9"/>
      <c r="K15" s="9"/>
      <c r="L15" s="10"/>
      <c r="M15" s="10"/>
      <c r="N15" s="9" t="s">
        <v>764</v>
      </c>
      <c r="O15" s="9"/>
    </row>
    <row r="16" spans="1:15" ht="45" customHeight="1">
      <c r="A16" s="7" t="s">
        <v>1248</v>
      </c>
      <c r="B16" s="7" t="s">
        <v>1095</v>
      </c>
      <c r="C16" s="7" t="s">
        <v>1249</v>
      </c>
      <c r="D16" s="8" t="s">
        <v>393</v>
      </c>
      <c r="E16" s="7" t="s">
        <v>239</v>
      </c>
      <c r="F16" s="8" t="s">
        <v>1250</v>
      </c>
      <c r="G16" s="8" t="s">
        <v>1251</v>
      </c>
      <c r="H16" s="7" t="s">
        <v>1252</v>
      </c>
      <c r="I16" s="7" t="s">
        <v>109</v>
      </c>
      <c r="J16" s="9"/>
      <c r="K16" s="9"/>
      <c r="L16" s="10"/>
      <c r="M16" s="10"/>
      <c r="N16" s="9" t="s">
        <v>764</v>
      </c>
      <c r="O16" s="9"/>
    </row>
    <row r="17" spans="1:15" ht="45" customHeight="1">
      <c r="A17" s="7" t="s">
        <v>1253</v>
      </c>
      <c r="B17" s="7" t="s">
        <v>1206</v>
      </c>
      <c r="C17" s="7" t="s">
        <v>1249</v>
      </c>
      <c r="D17" s="8" t="s">
        <v>393</v>
      </c>
      <c r="E17" s="7" t="s">
        <v>236</v>
      </c>
      <c r="F17" s="8" t="s">
        <v>1254</v>
      </c>
      <c r="G17" s="8" t="s">
        <v>1255</v>
      </c>
      <c r="H17" s="7" t="s">
        <v>1256</v>
      </c>
      <c r="I17" s="7" t="s">
        <v>109</v>
      </c>
      <c r="J17" s="9"/>
      <c r="K17" s="9"/>
      <c r="L17" s="10"/>
      <c r="M17" s="10"/>
      <c r="N17" s="9" t="s">
        <v>764</v>
      </c>
      <c r="O17" s="9"/>
    </row>
    <row r="18" spans="1:15" ht="45" customHeight="1">
      <c r="A18" s="7" t="s">
        <v>1257</v>
      </c>
      <c r="B18" s="7" t="s">
        <v>1213</v>
      </c>
      <c r="C18" s="7" t="s">
        <v>1249</v>
      </c>
      <c r="D18" s="8" t="s">
        <v>473</v>
      </c>
      <c r="E18" s="7" t="s">
        <v>230</v>
      </c>
      <c r="F18" s="8" t="s">
        <v>1258</v>
      </c>
      <c r="G18" s="8" t="s">
        <v>1259</v>
      </c>
      <c r="H18" s="7" t="s">
        <v>1260</v>
      </c>
      <c r="I18" s="7" t="s">
        <v>109</v>
      </c>
      <c r="J18" s="9"/>
      <c r="K18" s="9"/>
      <c r="L18" s="10"/>
      <c r="M18" s="10"/>
      <c r="N18" s="9" t="s">
        <v>764</v>
      </c>
      <c r="O18" s="9"/>
    </row>
    <row r="19" spans="1:15" ht="45" customHeight="1">
      <c r="A19" s="7" t="s">
        <v>1261</v>
      </c>
      <c r="B19" s="7" t="s">
        <v>1144</v>
      </c>
      <c r="C19" s="7" t="s">
        <v>1249</v>
      </c>
      <c r="D19" s="8" t="s">
        <v>473</v>
      </c>
      <c r="E19" s="7" t="s">
        <v>233</v>
      </c>
      <c r="F19" s="8" t="s">
        <v>1262</v>
      </c>
      <c r="G19" s="8" t="s">
        <v>1263</v>
      </c>
      <c r="H19" s="7" t="s">
        <v>1264</v>
      </c>
      <c r="I19" s="7" t="s">
        <v>844</v>
      </c>
      <c r="J19" s="9"/>
      <c r="K19" s="9"/>
      <c r="L19" s="10"/>
      <c r="M19" s="10"/>
      <c r="N19" s="9" t="s">
        <v>764</v>
      </c>
      <c r="O19" s="9"/>
    </row>
    <row r="20" spans="1:15" ht="45" customHeight="1">
      <c r="A20" s="7" t="s">
        <v>1265</v>
      </c>
      <c r="B20" s="7" t="s">
        <v>1230</v>
      </c>
      <c r="C20" s="7" t="s">
        <v>1249</v>
      </c>
      <c r="D20" s="8" t="s">
        <v>393</v>
      </c>
      <c r="E20" s="7" t="s">
        <v>242</v>
      </c>
      <c r="F20" s="8" t="s">
        <v>1266</v>
      </c>
      <c r="G20" s="8" t="s">
        <v>1267</v>
      </c>
      <c r="H20" s="7" t="s">
        <v>1268</v>
      </c>
      <c r="I20" s="7" t="s">
        <v>109</v>
      </c>
      <c r="J20" s="9"/>
      <c r="K20" s="9"/>
      <c r="L20" s="10"/>
      <c r="M20" s="10"/>
      <c r="N20" s="9" t="s">
        <v>764</v>
      </c>
      <c r="O20" s="9"/>
    </row>
    <row r="21" spans="1:15" ht="45" customHeight="1">
      <c r="A21" s="7" t="s">
        <v>1269</v>
      </c>
      <c r="B21" s="7" t="s">
        <v>1270</v>
      </c>
      <c r="C21" s="7" t="s">
        <v>1249</v>
      </c>
      <c r="D21" s="8" t="s">
        <v>393</v>
      </c>
      <c r="E21" s="7" t="s">
        <v>245</v>
      </c>
      <c r="F21" s="8" t="s">
        <v>1271</v>
      </c>
      <c r="G21" s="8" t="s">
        <v>1272</v>
      </c>
      <c r="H21" s="7" t="s">
        <v>1273</v>
      </c>
      <c r="I21" s="7" t="s">
        <v>109</v>
      </c>
      <c r="J21" s="9"/>
      <c r="K21" s="9"/>
      <c r="L21" s="10"/>
      <c r="M21" s="10"/>
      <c r="N21" s="9" t="s">
        <v>764</v>
      </c>
      <c r="O21" s="9"/>
    </row>
    <row r="22" spans="1:15" ht="45" customHeight="1">
      <c r="A22" s="7" t="s">
        <v>1274</v>
      </c>
      <c r="B22" s="7" t="s">
        <v>1224</v>
      </c>
      <c r="C22" s="7" t="s">
        <v>1249</v>
      </c>
      <c r="D22" s="8" t="s">
        <v>473</v>
      </c>
      <c r="E22" s="7" t="s">
        <v>248</v>
      </c>
      <c r="F22" s="8" t="s">
        <v>1275</v>
      </c>
      <c r="G22" s="8" t="s">
        <v>1276</v>
      </c>
      <c r="H22" s="7" t="s">
        <v>1277</v>
      </c>
      <c r="I22" s="7" t="s">
        <v>109</v>
      </c>
      <c r="J22" s="9"/>
      <c r="K22" s="9"/>
      <c r="L22" s="10"/>
      <c r="M22" s="10"/>
      <c r="N22" s="9" t="s">
        <v>764</v>
      </c>
      <c r="O22" s="9"/>
    </row>
    <row r="23" spans="1:15" ht="45" customHeight="1">
      <c r="A23" s="7" t="s">
        <v>1278</v>
      </c>
      <c r="B23" s="7" t="s">
        <v>1279</v>
      </c>
      <c r="C23" s="7" t="s">
        <v>1280</v>
      </c>
      <c r="D23" s="8" t="s">
        <v>393</v>
      </c>
      <c r="E23" s="7" t="s">
        <v>1281</v>
      </c>
      <c r="F23" s="8" t="s">
        <v>1282</v>
      </c>
      <c r="G23" s="8" t="s">
        <v>1283</v>
      </c>
      <c r="H23" s="7" t="s">
        <v>1284</v>
      </c>
      <c r="I23" s="7" t="s">
        <v>1285</v>
      </c>
      <c r="J23" s="9"/>
      <c r="K23" s="9"/>
      <c r="L23" s="10"/>
      <c r="M23" s="10"/>
      <c r="N23" s="9" t="s">
        <v>764</v>
      </c>
      <c r="O23" s="9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" customHeight="1">
      <c r="A26" s="4" t="s">
        <v>1286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33.950000000000003" customHeight="1">
      <c r="A27" s="6" t="s">
        <v>3</v>
      </c>
      <c r="B27" s="6" t="s">
        <v>38</v>
      </c>
      <c r="C27" s="6" t="s">
        <v>39</v>
      </c>
      <c r="D27" s="6" t="s">
        <v>40</v>
      </c>
      <c r="E27" s="6" t="s">
        <v>41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45" customHeight="1">
      <c r="A28" s="7" t="s">
        <v>1287</v>
      </c>
      <c r="B28" s="8" t="s">
        <v>1288</v>
      </c>
      <c r="C28" s="8" t="s">
        <v>1289</v>
      </c>
      <c r="D28" s="8" t="s">
        <v>1290</v>
      </c>
      <c r="E28" s="8" t="s">
        <v>1291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45" customHeight="1">
      <c r="A29" s="7" t="s">
        <v>1292</v>
      </c>
      <c r="B29" s="8" t="s">
        <v>1293</v>
      </c>
      <c r="C29" s="8" t="s">
        <v>1289</v>
      </c>
      <c r="D29" s="8" t="s">
        <v>1294</v>
      </c>
      <c r="E29" s="8" t="s">
        <v>1295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57" customHeight="1">
      <c r="A30" s="7" t="s">
        <v>1296</v>
      </c>
      <c r="B30" s="8" t="s">
        <v>1297</v>
      </c>
      <c r="C30" s="8" t="s">
        <v>1289</v>
      </c>
      <c r="D30" s="8" t="s">
        <v>1298</v>
      </c>
      <c r="E30" s="8" t="s">
        <v>1299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57" customHeight="1">
      <c r="A31" s="7" t="s">
        <v>1300</v>
      </c>
      <c r="B31" s="8" t="s">
        <v>1301</v>
      </c>
      <c r="C31" s="8" t="s">
        <v>1289</v>
      </c>
      <c r="D31" s="8" t="s">
        <v>1302</v>
      </c>
      <c r="E31" s="8" t="s">
        <v>1303</v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57" customHeight="1">
      <c r="A32" s="7" t="s">
        <v>1304</v>
      </c>
      <c r="B32" s="8" t="s">
        <v>1305</v>
      </c>
      <c r="C32" s="8" t="s">
        <v>1306</v>
      </c>
      <c r="D32" s="8" t="s">
        <v>1307</v>
      </c>
      <c r="E32" s="8" t="s">
        <v>1308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57" customHeight="1">
      <c r="A33" s="7" t="s">
        <v>1309</v>
      </c>
      <c r="B33" s="8" t="s">
        <v>1310</v>
      </c>
      <c r="C33" s="8" t="s">
        <v>1311</v>
      </c>
      <c r="D33" s="8" t="s">
        <v>1312</v>
      </c>
      <c r="E33" s="8" t="s">
        <v>1313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45" customHeight="1">
      <c r="A34" s="7" t="s">
        <v>1314</v>
      </c>
      <c r="B34" s="8" t="s">
        <v>718</v>
      </c>
      <c r="C34" s="8" t="s">
        <v>1311</v>
      </c>
      <c r="D34" s="8" t="s">
        <v>1315</v>
      </c>
      <c r="E34" s="8" t="s">
        <v>1316</v>
      </c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45" customHeight="1">
      <c r="A35" s="7" t="s">
        <v>1317</v>
      </c>
      <c r="B35" s="8" t="s">
        <v>1318</v>
      </c>
      <c r="C35" s="8" t="s">
        <v>1319</v>
      </c>
      <c r="D35" s="8" t="s">
        <v>1320</v>
      </c>
      <c r="E35" s="8" t="s">
        <v>1321</v>
      </c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45" customHeight="1">
      <c r="A36" s="7" t="s">
        <v>1322</v>
      </c>
      <c r="B36" s="8" t="s">
        <v>1323</v>
      </c>
      <c r="C36" s="8" t="s">
        <v>1324</v>
      </c>
      <c r="D36" s="8" t="s">
        <v>1325</v>
      </c>
      <c r="E36" s="8" t="s">
        <v>1326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45" customHeight="1">
      <c r="A37" s="7" t="s">
        <v>1327</v>
      </c>
      <c r="B37" s="8" t="s">
        <v>1328</v>
      </c>
      <c r="C37" s="8" t="s">
        <v>1329</v>
      </c>
      <c r="D37" s="8" t="s">
        <v>1330</v>
      </c>
      <c r="E37" s="8" t="s">
        <v>1331</v>
      </c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57" customHeight="1">
      <c r="A38" s="7" t="s">
        <v>1332</v>
      </c>
      <c r="B38" s="8" t="s">
        <v>1333</v>
      </c>
      <c r="C38" s="8" t="s">
        <v>1334</v>
      </c>
      <c r="D38" s="8" t="s">
        <v>1335</v>
      </c>
      <c r="E38" s="8" t="s">
        <v>1336</v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57" customHeight="1">
      <c r="A39" s="7" t="s">
        <v>1337</v>
      </c>
      <c r="B39" s="8" t="s">
        <v>1338</v>
      </c>
      <c r="C39" s="8" t="s">
        <v>1339</v>
      </c>
      <c r="D39" s="8" t="s">
        <v>1340</v>
      </c>
      <c r="E39" s="8" t="s">
        <v>1341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</sheetData>
  <dataValidations count="1">
    <dataValidation type="list" sqref="N7:N23" xr:uid="{00000000-0002-0000-0400-000000000000}">
      <formula1>"Proposed,Accepted,Needs revision,Deferred"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0" customWidth="1"/>
    <col min="2" max="2" width="22" customWidth="1"/>
    <col min="3" max="3" width="40" customWidth="1"/>
    <col min="4" max="4" width="72" customWidth="1"/>
    <col min="5" max="5" width="36" customWidth="1"/>
    <col min="6" max="6" width="72" customWidth="1"/>
    <col min="7" max="7" width="54" customWidth="1"/>
    <col min="8" max="8" width="35" customWidth="1"/>
    <col min="9" max="9" width="25" customWidth="1"/>
    <col min="10" max="10" width="24" customWidth="1"/>
    <col min="11" max="11" width="18" customWidth="1"/>
    <col min="12" max="12" width="22" customWidth="1"/>
    <col min="13" max="13" width="58" customWidth="1"/>
    <col min="14" max="14" width="30" customWidth="1"/>
  </cols>
  <sheetData>
    <row r="1" spans="1:14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.95" customHeight="1">
      <c r="A2" s="2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3.1" customHeight="1">
      <c r="A4" s="4" t="s">
        <v>1342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3.950000000000003" customHeight="1">
      <c r="A6" s="6" t="s">
        <v>3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6" t="s">
        <v>49</v>
      </c>
      <c r="I6" s="6" t="s">
        <v>50</v>
      </c>
      <c r="J6" s="6" t="s">
        <v>51</v>
      </c>
      <c r="K6" s="6" t="s">
        <v>52</v>
      </c>
      <c r="L6" s="6" t="s">
        <v>53</v>
      </c>
      <c r="M6" s="6" t="s">
        <v>54</v>
      </c>
      <c r="N6" s="6" t="s">
        <v>55</v>
      </c>
    </row>
    <row r="7" spans="1:14" ht="45" customHeight="1">
      <c r="A7" s="7" t="s">
        <v>1343</v>
      </c>
      <c r="B7" s="7" t="s">
        <v>1344</v>
      </c>
      <c r="C7" s="7" t="s">
        <v>1345</v>
      </c>
      <c r="D7" s="8" t="s">
        <v>1346</v>
      </c>
      <c r="E7" s="7" t="s">
        <v>1347</v>
      </c>
      <c r="F7" s="8" t="s">
        <v>1348</v>
      </c>
      <c r="G7" s="8" t="s">
        <v>1349</v>
      </c>
      <c r="H7" s="8" t="s">
        <v>1350</v>
      </c>
      <c r="I7" s="7" t="s">
        <v>1351</v>
      </c>
      <c r="J7" s="9"/>
      <c r="K7" s="10"/>
      <c r="L7" s="9" t="s">
        <v>56</v>
      </c>
      <c r="M7" s="9"/>
      <c r="N7" s="7" t="str">
        <f t="shared" ref="N7:N20" si="0">IF(L7="Done",IF(M7="","Add completion evidence","Evidence recorded"),IF(L7="Blocked","Resolve dependency",IF(L7="Deferred","Deferred","Work remains")))</f>
        <v>Work remains</v>
      </c>
    </row>
    <row r="8" spans="1:14" ht="45" customHeight="1">
      <c r="A8" s="7" t="s">
        <v>1352</v>
      </c>
      <c r="B8" s="7" t="s">
        <v>1353</v>
      </c>
      <c r="C8" s="7" t="s">
        <v>1354</v>
      </c>
      <c r="D8" s="8" t="s">
        <v>1355</v>
      </c>
      <c r="E8" s="7" t="s">
        <v>1343</v>
      </c>
      <c r="F8" s="8" t="s">
        <v>1356</v>
      </c>
      <c r="G8" s="8" t="s">
        <v>1357</v>
      </c>
      <c r="H8" s="8" t="s">
        <v>1358</v>
      </c>
      <c r="I8" s="7" t="s">
        <v>1359</v>
      </c>
      <c r="J8" s="9"/>
      <c r="K8" s="10"/>
      <c r="L8" s="9" t="s">
        <v>56</v>
      </c>
      <c r="M8" s="9"/>
      <c r="N8" s="7" t="str">
        <f t="shared" si="0"/>
        <v>Work remains</v>
      </c>
    </row>
    <row r="9" spans="1:14" ht="45" customHeight="1">
      <c r="A9" s="7" t="s">
        <v>1360</v>
      </c>
      <c r="B9" s="7" t="s">
        <v>1361</v>
      </c>
      <c r="C9" s="7" t="s">
        <v>1362</v>
      </c>
      <c r="D9" s="8" t="s">
        <v>1363</v>
      </c>
      <c r="E9" s="7" t="s">
        <v>1352</v>
      </c>
      <c r="F9" s="8" t="s">
        <v>1364</v>
      </c>
      <c r="G9" s="8" t="s">
        <v>1365</v>
      </c>
      <c r="H9" s="8" t="s">
        <v>1366</v>
      </c>
      <c r="I9" s="7" t="s">
        <v>1367</v>
      </c>
      <c r="J9" s="9"/>
      <c r="K9" s="10"/>
      <c r="L9" s="9" t="s">
        <v>56</v>
      </c>
      <c r="M9" s="9"/>
      <c r="N9" s="7" t="str">
        <f t="shared" si="0"/>
        <v>Work remains</v>
      </c>
    </row>
    <row r="10" spans="1:14" ht="45" customHeight="1">
      <c r="A10" s="7" t="s">
        <v>1368</v>
      </c>
      <c r="B10" s="7" t="s">
        <v>1369</v>
      </c>
      <c r="C10" s="7" t="s">
        <v>1370</v>
      </c>
      <c r="D10" s="8" t="s">
        <v>1371</v>
      </c>
      <c r="E10" s="7" t="s">
        <v>1360</v>
      </c>
      <c r="F10" s="8" t="s">
        <v>1372</v>
      </c>
      <c r="G10" s="8" t="s">
        <v>1373</v>
      </c>
      <c r="H10" s="8" t="s">
        <v>1374</v>
      </c>
      <c r="I10" s="7" t="s">
        <v>1375</v>
      </c>
      <c r="J10" s="9"/>
      <c r="K10" s="10"/>
      <c r="L10" s="9" t="s">
        <v>56</v>
      </c>
      <c r="M10" s="9"/>
      <c r="N10" s="7" t="str">
        <f t="shared" si="0"/>
        <v>Work remains</v>
      </c>
    </row>
    <row r="11" spans="1:14" ht="45" customHeight="1">
      <c r="A11" s="7" t="s">
        <v>1376</v>
      </c>
      <c r="B11" s="7" t="s">
        <v>1369</v>
      </c>
      <c r="C11" s="7" t="s">
        <v>1377</v>
      </c>
      <c r="D11" s="8" t="s">
        <v>1378</v>
      </c>
      <c r="E11" s="7" t="s">
        <v>1368</v>
      </c>
      <c r="F11" s="8" t="s">
        <v>1379</v>
      </c>
      <c r="G11" s="8" t="s">
        <v>1380</v>
      </c>
      <c r="H11" s="8" t="s">
        <v>1381</v>
      </c>
      <c r="I11" s="7" t="s">
        <v>1382</v>
      </c>
      <c r="J11" s="9"/>
      <c r="K11" s="10"/>
      <c r="L11" s="9" t="s">
        <v>56</v>
      </c>
      <c r="M11" s="9"/>
      <c r="N11" s="7" t="str">
        <f t="shared" si="0"/>
        <v>Work remains</v>
      </c>
    </row>
    <row r="12" spans="1:14" ht="57" customHeight="1">
      <c r="A12" s="7" t="s">
        <v>1383</v>
      </c>
      <c r="B12" s="7" t="s">
        <v>1369</v>
      </c>
      <c r="C12" s="7" t="s">
        <v>1384</v>
      </c>
      <c r="D12" s="8" t="s">
        <v>1385</v>
      </c>
      <c r="E12" s="7" t="s">
        <v>1386</v>
      </c>
      <c r="F12" s="8" t="s">
        <v>1387</v>
      </c>
      <c r="G12" s="8" t="s">
        <v>1388</v>
      </c>
      <c r="H12" s="8" t="s">
        <v>1366</v>
      </c>
      <c r="I12" s="7" t="s">
        <v>1389</v>
      </c>
      <c r="J12" s="9"/>
      <c r="K12" s="10"/>
      <c r="L12" s="9" t="s">
        <v>56</v>
      </c>
      <c r="M12" s="9"/>
      <c r="N12" s="7" t="str">
        <f t="shared" si="0"/>
        <v>Work remains</v>
      </c>
    </row>
    <row r="13" spans="1:14" ht="57" customHeight="1">
      <c r="A13" s="7" t="s">
        <v>1390</v>
      </c>
      <c r="B13" s="7" t="s">
        <v>1369</v>
      </c>
      <c r="C13" s="7" t="s">
        <v>1391</v>
      </c>
      <c r="D13" s="8" t="s">
        <v>1392</v>
      </c>
      <c r="E13" s="7" t="s">
        <v>1383</v>
      </c>
      <c r="F13" s="8" t="s">
        <v>1393</v>
      </c>
      <c r="G13" s="8" t="s">
        <v>1394</v>
      </c>
      <c r="H13" s="8" t="s">
        <v>1395</v>
      </c>
      <c r="I13" s="7" t="s">
        <v>1396</v>
      </c>
      <c r="J13" s="9"/>
      <c r="K13" s="10"/>
      <c r="L13" s="9" t="s">
        <v>56</v>
      </c>
      <c r="M13" s="9"/>
      <c r="N13" s="7" t="str">
        <f t="shared" si="0"/>
        <v>Work remains</v>
      </c>
    </row>
    <row r="14" spans="1:14" ht="57" customHeight="1">
      <c r="A14" s="7" t="s">
        <v>1397</v>
      </c>
      <c r="B14" s="7" t="s">
        <v>1398</v>
      </c>
      <c r="C14" s="7" t="s">
        <v>1399</v>
      </c>
      <c r="D14" s="8" t="s">
        <v>1400</v>
      </c>
      <c r="E14" s="7" t="s">
        <v>1401</v>
      </c>
      <c r="F14" s="8" t="s">
        <v>1402</v>
      </c>
      <c r="G14" s="8" t="s">
        <v>1403</v>
      </c>
      <c r="H14" s="8" t="s">
        <v>1404</v>
      </c>
      <c r="I14" s="7" t="s">
        <v>1405</v>
      </c>
      <c r="J14" s="9"/>
      <c r="K14" s="10"/>
      <c r="L14" s="9" t="s">
        <v>56</v>
      </c>
      <c r="M14" s="9"/>
      <c r="N14" s="7" t="str">
        <f t="shared" si="0"/>
        <v>Work remains</v>
      </c>
    </row>
    <row r="15" spans="1:14" ht="45" customHeight="1">
      <c r="A15" s="7" t="s">
        <v>1406</v>
      </c>
      <c r="B15" s="7" t="s">
        <v>1407</v>
      </c>
      <c r="C15" s="7" t="s">
        <v>1408</v>
      </c>
      <c r="D15" s="8" t="s">
        <v>1409</v>
      </c>
      <c r="E15" s="7" t="s">
        <v>1390</v>
      </c>
      <c r="F15" s="8" t="s">
        <v>1410</v>
      </c>
      <c r="G15" s="8" t="s">
        <v>1411</v>
      </c>
      <c r="H15" s="8" t="s">
        <v>1412</v>
      </c>
      <c r="I15" s="7" t="s">
        <v>1413</v>
      </c>
      <c r="J15" s="9"/>
      <c r="K15" s="10"/>
      <c r="L15" s="9" t="s">
        <v>56</v>
      </c>
      <c r="M15" s="9"/>
      <c r="N15" s="7" t="str">
        <f t="shared" si="0"/>
        <v>Work remains</v>
      </c>
    </row>
    <row r="16" spans="1:14" ht="45" customHeight="1">
      <c r="A16" s="7" t="s">
        <v>1414</v>
      </c>
      <c r="B16" s="7" t="s">
        <v>1415</v>
      </c>
      <c r="C16" s="7" t="s">
        <v>1416</v>
      </c>
      <c r="D16" s="8" t="s">
        <v>1417</v>
      </c>
      <c r="E16" s="7" t="s">
        <v>1418</v>
      </c>
      <c r="F16" s="8" t="s">
        <v>1419</v>
      </c>
      <c r="G16" s="8" t="s">
        <v>1420</v>
      </c>
      <c r="H16" s="8" t="s">
        <v>1421</v>
      </c>
      <c r="I16" s="7" t="s">
        <v>1422</v>
      </c>
      <c r="J16" s="9"/>
      <c r="K16" s="10"/>
      <c r="L16" s="9" t="s">
        <v>56</v>
      </c>
      <c r="M16" s="9"/>
      <c r="N16" s="7" t="str">
        <f t="shared" si="0"/>
        <v>Work remains</v>
      </c>
    </row>
    <row r="17" spans="1:14" ht="45" customHeight="1">
      <c r="A17" s="7" t="s">
        <v>1423</v>
      </c>
      <c r="B17" s="7" t="s">
        <v>1424</v>
      </c>
      <c r="C17" s="7" t="s">
        <v>1425</v>
      </c>
      <c r="D17" s="8" t="s">
        <v>1426</v>
      </c>
      <c r="E17" s="7" t="s">
        <v>1427</v>
      </c>
      <c r="F17" s="8" t="s">
        <v>1428</v>
      </c>
      <c r="G17" s="8" t="s">
        <v>1429</v>
      </c>
      <c r="H17" s="8" t="s">
        <v>1430</v>
      </c>
      <c r="I17" s="7" t="s">
        <v>1431</v>
      </c>
      <c r="J17" s="9"/>
      <c r="K17" s="10"/>
      <c r="L17" s="9" t="s">
        <v>56</v>
      </c>
      <c r="M17" s="9"/>
      <c r="N17" s="7" t="str">
        <f t="shared" si="0"/>
        <v>Work remains</v>
      </c>
    </row>
    <row r="18" spans="1:14" ht="45" customHeight="1">
      <c r="A18" s="7" t="s">
        <v>1432</v>
      </c>
      <c r="B18" s="7" t="s">
        <v>1433</v>
      </c>
      <c r="C18" s="7" t="s">
        <v>1434</v>
      </c>
      <c r="D18" s="8" t="s">
        <v>1435</v>
      </c>
      <c r="E18" s="7" t="s">
        <v>1436</v>
      </c>
      <c r="F18" s="8" t="s">
        <v>1437</v>
      </c>
      <c r="G18" s="8" t="s">
        <v>1438</v>
      </c>
      <c r="H18" s="8" t="s">
        <v>1439</v>
      </c>
      <c r="I18" s="7" t="s">
        <v>785</v>
      </c>
      <c r="J18" s="9"/>
      <c r="K18" s="10"/>
      <c r="L18" s="9" t="s">
        <v>56</v>
      </c>
      <c r="M18" s="9"/>
      <c r="N18" s="7" t="str">
        <f t="shared" si="0"/>
        <v>Work remains</v>
      </c>
    </row>
    <row r="19" spans="1:14" ht="45" customHeight="1">
      <c r="A19" s="7" t="s">
        <v>1440</v>
      </c>
      <c r="B19" s="7" t="s">
        <v>1441</v>
      </c>
      <c r="C19" s="7" t="s">
        <v>1442</v>
      </c>
      <c r="D19" s="8" t="s">
        <v>1443</v>
      </c>
      <c r="E19" s="7" t="s">
        <v>1444</v>
      </c>
      <c r="F19" s="8" t="s">
        <v>1445</v>
      </c>
      <c r="G19" s="8" t="s">
        <v>1446</v>
      </c>
      <c r="H19" s="8" t="s">
        <v>1447</v>
      </c>
      <c r="I19" s="7" t="s">
        <v>1448</v>
      </c>
      <c r="J19" s="9"/>
      <c r="K19" s="10"/>
      <c r="L19" s="9" t="s">
        <v>56</v>
      </c>
      <c r="M19" s="9"/>
      <c r="N19" s="7" t="str">
        <f t="shared" si="0"/>
        <v>Work remains</v>
      </c>
    </row>
    <row r="20" spans="1:14" ht="57" customHeight="1">
      <c r="A20" s="7" t="s">
        <v>1449</v>
      </c>
      <c r="B20" s="7" t="s">
        <v>1450</v>
      </c>
      <c r="C20" s="7" t="s">
        <v>1451</v>
      </c>
      <c r="D20" s="8" t="s">
        <v>1452</v>
      </c>
      <c r="E20" s="7" t="s">
        <v>1453</v>
      </c>
      <c r="F20" s="8" t="s">
        <v>1454</v>
      </c>
      <c r="G20" s="8" t="s">
        <v>1455</v>
      </c>
      <c r="H20" s="8" t="s">
        <v>1456</v>
      </c>
      <c r="I20" s="7" t="s">
        <v>1457</v>
      </c>
      <c r="J20" s="9"/>
      <c r="K20" s="10"/>
      <c r="L20" s="9" t="s">
        <v>56</v>
      </c>
      <c r="M20" s="9"/>
      <c r="N20" s="7" t="str">
        <f t="shared" si="0"/>
        <v>Work remains</v>
      </c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conditionalFormatting sqref="L7:N20">
    <cfRule type="containsText" dxfId="5" priority="1" operator="containsText" text="Blocked"/>
    <cfRule type="containsText" dxfId="4" priority="5" operator="containsText" text="Open"/>
  </conditionalFormatting>
  <dataValidations count="1">
    <dataValidation type="list" sqref="L7:L20" xr:uid="{00000000-0002-0000-0500-000000000000}">
      <formula1>"Not started,In progress,Blocked,Done,Deferred"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0" customWidth="1"/>
    <col min="2" max="2" width="24" customWidth="1"/>
    <col min="3" max="3" width="65" customWidth="1"/>
    <col min="4" max="5" width="72" customWidth="1"/>
    <col min="6" max="6" width="55" customWidth="1"/>
    <col min="7" max="7" width="27" customWidth="1"/>
    <col min="8" max="8" width="22" customWidth="1"/>
    <col min="9" max="9" width="58" customWidth="1"/>
    <col min="10" max="10" width="40" customWidth="1"/>
    <col min="11" max="11" width="24" customWidth="1"/>
    <col min="12" max="12" width="42" customWidth="1"/>
    <col min="13" max="13" width="30" customWidth="1"/>
  </cols>
  <sheetData>
    <row r="1" spans="1:13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7.95" customHeight="1">
      <c r="A2" s="2" t="s">
        <v>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3.1" customHeight="1">
      <c r="A4" s="4" t="s">
        <v>58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3.950000000000003" customHeight="1">
      <c r="A6" s="6" t="s">
        <v>3</v>
      </c>
      <c r="B6" s="6" t="s">
        <v>59</v>
      </c>
      <c r="C6" s="6" t="s">
        <v>60</v>
      </c>
      <c r="D6" s="6" t="s">
        <v>61</v>
      </c>
      <c r="E6" s="6" t="s">
        <v>62</v>
      </c>
      <c r="F6" s="6" t="s">
        <v>63</v>
      </c>
      <c r="G6" s="6" t="s">
        <v>50</v>
      </c>
      <c r="H6" s="6" t="s">
        <v>64</v>
      </c>
      <c r="I6" s="6" t="s">
        <v>65</v>
      </c>
      <c r="J6" s="6" t="s">
        <v>66</v>
      </c>
      <c r="K6" s="6" t="s">
        <v>67</v>
      </c>
      <c r="L6" s="6" t="s">
        <v>68</v>
      </c>
      <c r="M6" s="6" t="s">
        <v>55</v>
      </c>
    </row>
    <row r="7" spans="1:13" ht="45" customHeight="1">
      <c r="A7" s="7" t="s">
        <v>69</v>
      </c>
      <c r="B7" s="7" t="s">
        <v>1458</v>
      </c>
      <c r="C7" s="8" t="s">
        <v>1459</v>
      </c>
      <c r="D7" s="8" t="s">
        <v>1460</v>
      </c>
      <c r="E7" s="8" t="s">
        <v>1461</v>
      </c>
      <c r="F7" s="8" t="s">
        <v>1462</v>
      </c>
      <c r="G7" s="7" t="s">
        <v>1463</v>
      </c>
      <c r="H7" s="9" t="s">
        <v>70</v>
      </c>
      <c r="I7" s="9"/>
      <c r="J7" s="9"/>
      <c r="K7" s="9"/>
      <c r="L7" s="9"/>
      <c r="M7" s="7" t="str">
        <f t="shared" ref="M7:M24" si="0">IF(H7="Passed",IF(OR(I7="",J7=""),"Add result and evidence","Evidence recorded"),H7)</f>
        <v>Not run</v>
      </c>
    </row>
    <row r="8" spans="1:13" ht="45" customHeight="1">
      <c r="A8" s="7" t="s">
        <v>71</v>
      </c>
      <c r="B8" s="7" t="s">
        <v>1464</v>
      </c>
      <c r="C8" s="8" t="s">
        <v>1465</v>
      </c>
      <c r="D8" s="8" t="s">
        <v>1466</v>
      </c>
      <c r="E8" s="8" t="s">
        <v>1467</v>
      </c>
      <c r="F8" s="8" t="s">
        <v>1468</v>
      </c>
      <c r="G8" s="7" t="s">
        <v>100</v>
      </c>
      <c r="H8" s="9" t="s">
        <v>70</v>
      </c>
      <c r="I8" s="9"/>
      <c r="J8" s="9"/>
      <c r="K8" s="9"/>
      <c r="L8" s="9"/>
      <c r="M8" s="7" t="str">
        <f t="shared" si="0"/>
        <v>Not run</v>
      </c>
    </row>
    <row r="9" spans="1:13" ht="45" customHeight="1">
      <c r="A9" s="7" t="s">
        <v>72</v>
      </c>
      <c r="B9" s="7" t="s">
        <v>1469</v>
      </c>
      <c r="C9" s="8" t="s">
        <v>1470</v>
      </c>
      <c r="D9" s="8" t="s">
        <v>1471</v>
      </c>
      <c r="E9" s="8" t="s">
        <v>1472</v>
      </c>
      <c r="F9" s="8" t="s">
        <v>1473</v>
      </c>
      <c r="G9" s="7" t="s">
        <v>1474</v>
      </c>
      <c r="H9" s="9" t="s">
        <v>70</v>
      </c>
      <c r="I9" s="9"/>
      <c r="J9" s="9"/>
      <c r="K9" s="9"/>
      <c r="L9" s="9"/>
      <c r="M9" s="7" t="str">
        <f t="shared" si="0"/>
        <v>Not run</v>
      </c>
    </row>
    <row r="10" spans="1:13" ht="45" customHeight="1">
      <c r="A10" s="7" t="s">
        <v>73</v>
      </c>
      <c r="B10" s="7" t="s">
        <v>1475</v>
      </c>
      <c r="C10" s="8" t="s">
        <v>1476</v>
      </c>
      <c r="D10" s="8" t="s">
        <v>1477</v>
      </c>
      <c r="E10" s="8" t="s">
        <v>1478</v>
      </c>
      <c r="F10" s="8" t="s">
        <v>1479</v>
      </c>
      <c r="G10" s="7" t="s">
        <v>101</v>
      </c>
      <c r="H10" s="9" t="s">
        <v>70</v>
      </c>
      <c r="I10" s="9"/>
      <c r="J10" s="9"/>
      <c r="K10" s="9"/>
      <c r="L10" s="9"/>
      <c r="M10" s="7" t="str">
        <f t="shared" si="0"/>
        <v>Not run</v>
      </c>
    </row>
    <row r="11" spans="1:13" ht="45" customHeight="1">
      <c r="A11" s="7" t="s">
        <v>74</v>
      </c>
      <c r="B11" s="7" t="s">
        <v>1480</v>
      </c>
      <c r="C11" s="8" t="s">
        <v>1481</v>
      </c>
      <c r="D11" s="8" t="s">
        <v>1482</v>
      </c>
      <c r="E11" s="8" t="s">
        <v>1483</v>
      </c>
      <c r="F11" s="8" t="s">
        <v>1484</v>
      </c>
      <c r="G11" s="7" t="s">
        <v>842</v>
      </c>
      <c r="H11" s="9" t="s">
        <v>70</v>
      </c>
      <c r="I11" s="9"/>
      <c r="J11" s="9"/>
      <c r="K11" s="9"/>
      <c r="L11" s="9"/>
      <c r="M11" s="7" t="str">
        <f t="shared" si="0"/>
        <v>Not run</v>
      </c>
    </row>
    <row r="12" spans="1:13" ht="45" customHeight="1">
      <c r="A12" s="7" t="s">
        <v>75</v>
      </c>
      <c r="B12" s="7" t="s">
        <v>1485</v>
      </c>
      <c r="C12" s="8" t="s">
        <v>1486</v>
      </c>
      <c r="D12" s="8" t="s">
        <v>1487</v>
      </c>
      <c r="E12" s="8" t="s">
        <v>1488</v>
      </c>
      <c r="F12" s="8" t="s">
        <v>1489</v>
      </c>
      <c r="G12" s="7" t="s">
        <v>1490</v>
      </c>
      <c r="H12" s="9" t="s">
        <v>70</v>
      </c>
      <c r="I12" s="9"/>
      <c r="J12" s="9"/>
      <c r="K12" s="9"/>
      <c r="L12" s="9"/>
      <c r="M12" s="7" t="str">
        <f t="shared" si="0"/>
        <v>Not run</v>
      </c>
    </row>
    <row r="13" spans="1:13" ht="45" customHeight="1">
      <c r="A13" s="7" t="s">
        <v>76</v>
      </c>
      <c r="B13" s="7" t="s">
        <v>1491</v>
      </c>
      <c r="C13" s="8" t="s">
        <v>1492</v>
      </c>
      <c r="D13" s="8" t="s">
        <v>1493</v>
      </c>
      <c r="E13" s="8" t="s">
        <v>1494</v>
      </c>
      <c r="F13" s="8" t="s">
        <v>1489</v>
      </c>
      <c r="G13" s="7" t="s">
        <v>98</v>
      </c>
      <c r="H13" s="9" t="s">
        <v>70</v>
      </c>
      <c r="I13" s="9"/>
      <c r="J13" s="9"/>
      <c r="K13" s="9"/>
      <c r="L13" s="9"/>
      <c r="M13" s="7" t="str">
        <f t="shared" si="0"/>
        <v>Not run</v>
      </c>
    </row>
    <row r="14" spans="1:13" ht="45" customHeight="1">
      <c r="A14" s="7" t="s">
        <v>77</v>
      </c>
      <c r="B14" s="7" t="s">
        <v>1495</v>
      </c>
      <c r="C14" s="8" t="s">
        <v>1496</v>
      </c>
      <c r="D14" s="8" t="s">
        <v>1497</v>
      </c>
      <c r="E14" s="8" t="s">
        <v>1498</v>
      </c>
      <c r="F14" s="8" t="s">
        <v>1499</v>
      </c>
      <c r="G14" s="7" t="s">
        <v>98</v>
      </c>
      <c r="H14" s="9" t="s">
        <v>70</v>
      </c>
      <c r="I14" s="9"/>
      <c r="J14" s="9"/>
      <c r="K14" s="9"/>
      <c r="L14" s="9"/>
      <c r="M14" s="7" t="str">
        <f t="shared" si="0"/>
        <v>Not run</v>
      </c>
    </row>
    <row r="15" spans="1:13" ht="45" customHeight="1">
      <c r="A15" s="7" t="s">
        <v>78</v>
      </c>
      <c r="B15" s="7" t="s">
        <v>1500</v>
      </c>
      <c r="C15" s="8" t="s">
        <v>1501</v>
      </c>
      <c r="D15" s="8" t="s">
        <v>1502</v>
      </c>
      <c r="E15" s="8" t="s">
        <v>1503</v>
      </c>
      <c r="F15" s="8" t="s">
        <v>1504</v>
      </c>
      <c r="G15" s="7" t="s">
        <v>98</v>
      </c>
      <c r="H15" s="9" t="s">
        <v>70</v>
      </c>
      <c r="I15" s="9"/>
      <c r="J15" s="9"/>
      <c r="K15" s="9"/>
      <c r="L15" s="9"/>
      <c r="M15" s="7" t="str">
        <f t="shared" si="0"/>
        <v>Not run</v>
      </c>
    </row>
    <row r="16" spans="1:13" ht="45" customHeight="1">
      <c r="A16" s="7" t="s">
        <v>79</v>
      </c>
      <c r="B16" s="7" t="s">
        <v>1505</v>
      </c>
      <c r="C16" s="8" t="s">
        <v>1506</v>
      </c>
      <c r="D16" s="8" t="s">
        <v>1507</v>
      </c>
      <c r="E16" s="8" t="s">
        <v>1508</v>
      </c>
      <c r="F16" s="8" t="s">
        <v>1509</v>
      </c>
      <c r="G16" s="7" t="s">
        <v>861</v>
      </c>
      <c r="H16" s="9" t="s">
        <v>70</v>
      </c>
      <c r="I16" s="9"/>
      <c r="J16" s="9"/>
      <c r="K16" s="9"/>
      <c r="L16" s="9"/>
      <c r="M16" s="7" t="str">
        <f t="shared" si="0"/>
        <v>Not run</v>
      </c>
    </row>
    <row r="17" spans="1:13" ht="45" customHeight="1">
      <c r="A17" s="7" t="s">
        <v>80</v>
      </c>
      <c r="B17" s="7" t="s">
        <v>1510</v>
      </c>
      <c r="C17" s="8" t="s">
        <v>1511</v>
      </c>
      <c r="D17" s="8" t="s">
        <v>1512</v>
      </c>
      <c r="E17" s="8" t="s">
        <v>1513</v>
      </c>
      <c r="F17" s="8" t="s">
        <v>1514</v>
      </c>
      <c r="G17" s="7" t="s">
        <v>109</v>
      </c>
      <c r="H17" s="9" t="s">
        <v>70</v>
      </c>
      <c r="I17" s="9"/>
      <c r="J17" s="9"/>
      <c r="K17" s="9"/>
      <c r="L17" s="9"/>
      <c r="M17" s="7" t="str">
        <f t="shared" si="0"/>
        <v>Not run</v>
      </c>
    </row>
    <row r="18" spans="1:13" ht="45" customHeight="1">
      <c r="A18" s="7" t="s">
        <v>81</v>
      </c>
      <c r="B18" s="7" t="s">
        <v>1515</v>
      </c>
      <c r="C18" s="8" t="s">
        <v>1516</v>
      </c>
      <c r="D18" s="8" t="s">
        <v>1517</v>
      </c>
      <c r="E18" s="8" t="s">
        <v>1518</v>
      </c>
      <c r="F18" s="8" t="s">
        <v>1519</v>
      </c>
      <c r="G18" s="7" t="s">
        <v>110</v>
      </c>
      <c r="H18" s="9" t="s">
        <v>70</v>
      </c>
      <c r="I18" s="9"/>
      <c r="J18" s="9"/>
      <c r="K18" s="9"/>
      <c r="L18" s="9"/>
      <c r="M18" s="7" t="str">
        <f t="shared" si="0"/>
        <v>Not run</v>
      </c>
    </row>
    <row r="19" spans="1:13" ht="45" customHeight="1">
      <c r="A19" s="7" t="s">
        <v>82</v>
      </c>
      <c r="B19" s="7" t="s">
        <v>1520</v>
      </c>
      <c r="C19" s="8" t="s">
        <v>1521</v>
      </c>
      <c r="D19" s="8" t="s">
        <v>1522</v>
      </c>
      <c r="E19" s="8" t="s">
        <v>1523</v>
      </c>
      <c r="F19" s="8" t="s">
        <v>1524</v>
      </c>
      <c r="G19" s="7" t="s">
        <v>622</v>
      </c>
      <c r="H19" s="9" t="s">
        <v>70</v>
      </c>
      <c r="I19" s="9"/>
      <c r="J19" s="9"/>
      <c r="K19" s="9"/>
      <c r="L19" s="9"/>
      <c r="M19" s="7" t="str">
        <f t="shared" si="0"/>
        <v>Not run</v>
      </c>
    </row>
    <row r="20" spans="1:13" ht="45" customHeight="1">
      <c r="A20" s="7" t="s">
        <v>83</v>
      </c>
      <c r="B20" s="7" t="s">
        <v>1525</v>
      </c>
      <c r="C20" s="8" t="s">
        <v>1526</v>
      </c>
      <c r="D20" s="8" t="s">
        <v>1527</v>
      </c>
      <c r="E20" s="8" t="s">
        <v>1528</v>
      </c>
      <c r="F20" s="8" t="s">
        <v>1529</v>
      </c>
      <c r="G20" s="7" t="s">
        <v>1530</v>
      </c>
      <c r="H20" s="9" t="s">
        <v>70</v>
      </c>
      <c r="I20" s="9"/>
      <c r="J20" s="9"/>
      <c r="K20" s="9"/>
      <c r="L20" s="9"/>
      <c r="M20" s="7" t="str">
        <f t="shared" si="0"/>
        <v>Not run</v>
      </c>
    </row>
    <row r="21" spans="1:13" ht="45" customHeight="1">
      <c r="A21" s="7" t="s">
        <v>84</v>
      </c>
      <c r="B21" s="7" t="s">
        <v>1531</v>
      </c>
      <c r="C21" s="8" t="s">
        <v>1532</v>
      </c>
      <c r="D21" s="8" t="s">
        <v>1533</v>
      </c>
      <c r="E21" s="8" t="s">
        <v>1534</v>
      </c>
      <c r="F21" s="8" t="s">
        <v>1535</v>
      </c>
      <c r="G21" s="7" t="s">
        <v>1536</v>
      </c>
      <c r="H21" s="9" t="s">
        <v>70</v>
      </c>
      <c r="I21" s="9"/>
      <c r="J21" s="9"/>
      <c r="K21" s="9"/>
      <c r="L21" s="9"/>
      <c r="M21" s="7" t="str">
        <f t="shared" si="0"/>
        <v>Not run</v>
      </c>
    </row>
    <row r="22" spans="1:13" ht="45" customHeight="1">
      <c r="A22" s="7" t="s">
        <v>85</v>
      </c>
      <c r="B22" s="7" t="s">
        <v>1537</v>
      </c>
      <c r="C22" s="8" t="s">
        <v>1538</v>
      </c>
      <c r="D22" s="8" t="s">
        <v>1539</v>
      </c>
      <c r="E22" s="8" t="s">
        <v>1540</v>
      </c>
      <c r="F22" s="8" t="s">
        <v>1541</v>
      </c>
      <c r="G22" s="7" t="s">
        <v>117</v>
      </c>
      <c r="H22" s="9" t="s">
        <v>70</v>
      </c>
      <c r="I22" s="9"/>
      <c r="J22" s="9"/>
      <c r="K22" s="9"/>
      <c r="L22" s="9"/>
      <c r="M22" s="7" t="str">
        <f t="shared" si="0"/>
        <v>Not run</v>
      </c>
    </row>
    <row r="23" spans="1:13" ht="45" customHeight="1">
      <c r="A23" s="7" t="s">
        <v>86</v>
      </c>
      <c r="B23" s="7" t="s">
        <v>1542</v>
      </c>
      <c r="C23" s="8" t="s">
        <v>1543</v>
      </c>
      <c r="D23" s="8" t="s">
        <v>1544</v>
      </c>
      <c r="E23" s="8" t="s">
        <v>1545</v>
      </c>
      <c r="F23" s="8" t="s">
        <v>1546</v>
      </c>
      <c r="G23" s="7" t="s">
        <v>117</v>
      </c>
      <c r="H23" s="9" t="s">
        <v>70</v>
      </c>
      <c r="I23" s="9"/>
      <c r="J23" s="9"/>
      <c r="K23" s="9"/>
      <c r="L23" s="9"/>
      <c r="M23" s="7" t="str">
        <f t="shared" si="0"/>
        <v>Not run</v>
      </c>
    </row>
    <row r="24" spans="1:13" ht="45" customHeight="1">
      <c r="A24" s="7" t="s">
        <v>87</v>
      </c>
      <c r="B24" s="7" t="s">
        <v>1547</v>
      </c>
      <c r="C24" s="8" t="s">
        <v>1548</v>
      </c>
      <c r="D24" s="8" t="s">
        <v>1549</v>
      </c>
      <c r="E24" s="8" t="s">
        <v>1550</v>
      </c>
      <c r="F24" s="8" t="s">
        <v>1551</v>
      </c>
      <c r="G24" s="7" t="s">
        <v>117</v>
      </c>
      <c r="H24" s="9" t="s">
        <v>70</v>
      </c>
      <c r="I24" s="9"/>
      <c r="J24" s="9"/>
      <c r="K24" s="9"/>
      <c r="L24" s="9"/>
      <c r="M24" s="7" t="str">
        <f t="shared" si="0"/>
        <v>Not run</v>
      </c>
    </row>
    <row r="25" spans="1:13" ht="45" customHeight="1">
      <c r="A25" s="7" t="s">
        <v>1552</v>
      </c>
      <c r="B25" s="7" t="s">
        <v>1553</v>
      </c>
      <c r="C25" s="12" t="s">
        <v>1554</v>
      </c>
      <c r="D25" s="12" t="s">
        <v>1555</v>
      </c>
      <c r="E25" s="12" t="s">
        <v>1556</v>
      </c>
      <c r="F25" s="12" t="s">
        <v>1557</v>
      </c>
      <c r="G25" s="7" t="s">
        <v>1558</v>
      </c>
      <c r="H25" s="13" t="s">
        <v>70</v>
      </c>
      <c r="I25" s="13"/>
      <c r="J25" s="13"/>
      <c r="K25" s="13"/>
      <c r="L25" s="13"/>
      <c r="M25" s="7" t="str">
        <f t="shared" ref="M25:M30" si="1">IF(H25="Passed",IF(OR(I25="",J25=""),"Add result and evidence","Evidence recorded"),H25)</f>
        <v>Not run</v>
      </c>
    </row>
    <row r="26" spans="1:13" ht="45" customHeight="1">
      <c r="A26" s="7" t="s">
        <v>1559</v>
      </c>
      <c r="B26" s="7" t="s">
        <v>1560</v>
      </c>
      <c r="C26" s="12" t="s">
        <v>1561</v>
      </c>
      <c r="D26" s="12" t="s">
        <v>1562</v>
      </c>
      <c r="E26" s="12" t="s">
        <v>1563</v>
      </c>
      <c r="F26" s="12" t="s">
        <v>1564</v>
      </c>
      <c r="G26" s="7" t="s">
        <v>1565</v>
      </c>
      <c r="H26" s="13" t="s">
        <v>70</v>
      </c>
      <c r="I26" s="13"/>
      <c r="J26" s="13"/>
      <c r="K26" s="13"/>
      <c r="L26" s="13"/>
      <c r="M26" s="7" t="str">
        <f t="shared" si="1"/>
        <v>Not run</v>
      </c>
    </row>
    <row r="27" spans="1:13" ht="45" customHeight="1">
      <c r="A27" s="7" t="s">
        <v>1566</v>
      </c>
      <c r="B27" s="7" t="s">
        <v>1567</v>
      </c>
      <c r="C27" s="12" t="s">
        <v>1568</v>
      </c>
      <c r="D27" s="12" t="s">
        <v>1569</v>
      </c>
      <c r="E27" s="12" t="s">
        <v>1570</v>
      </c>
      <c r="F27" s="12" t="s">
        <v>1571</v>
      </c>
      <c r="G27" s="7" t="s">
        <v>1572</v>
      </c>
      <c r="H27" s="13" t="s">
        <v>70</v>
      </c>
      <c r="I27" s="13"/>
      <c r="J27" s="13"/>
      <c r="K27" s="13"/>
      <c r="L27" s="13"/>
      <c r="M27" s="7" t="str">
        <f t="shared" si="1"/>
        <v>Not run</v>
      </c>
    </row>
    <row r="28" spans="1:13" ht="45" customHeight="1">
      <c r="A28" s="7" t="s">
        <v>1573</v>
      </c>
      <c r="B28" s="7" t="s">
        <v>1574</v>
      </c>
      <c r="C28" s="12" t="s">
        <v>1575</v>
      </c>
      <c r="D28" s="12" t="s">
        <v>1576</v>
      </c>
      <c r="E28" s="12" t="s">
        <v>1577</v>
      </c>
      <c r="F28" s="12" t="s">
        <v>1578</v>
      </c>
      <c r="G28" s="7" t="s">
        <v>1579</v>
      </c>
      <c r="H28" s="13" t="s">
        <v>70</v>
      </c>
      <c r="I28" s="13"/>
      <c r="J28" s="13"/>
      <c r="K28" s="13"/>
      <c r="L28" s="13"/>
      <c r="M28" s="7" t="str">
        <f t="shared" si="1"/>
        <v>Not run</v>
      </c>
    </row>
    <row r="29" spans="1:13" ht="45" customHeight="1">
      <c r="A29" s="7" t="s">
        <v>1580</v>
      </c>
      <c r="B29" s="7" t="s">
        <v>1373</v>
      </c>
      <c r="C29" s="12" t="s">
        <v>1581</v>
      </c>
      <c r="D29" s="12" t="s">
        <v>1582</v>
      </c>
      <c r="E29" s="12" t="s">
        <v>1583</v>
      </c>
      <c r="F29" s="12" t="s">
        <v>1584</v>
      </c>
      <c r="G29" s="7" t="s">
        <v>1585</v>
      </c>
      <c r="H29" s="13" t="s">
        <v>70</v>
      </c>
      <c r="I29" s="13"/>
      <c r="J29" s="13"/>
      <c r="K29" s="13"/>
      <c r="L29" s="13"/>
      <c r="M29" s="7" t="str">
        <f t="shared" si="1"/>
        <v>Not run</v>
      </c>
    </row>
    <row r="30" spans="1:13" ht="45" customHeight="1">
      <c r="A30" s="7" t="s">
        <v>1586</v>
      </c>
      <c r="B30" s="7" t="s">
        <v>1329</v>
      </c>
      <c r="C30" s="12" t="s">
        <v>1587</v>
      </c>
      <c r="D30" s="12" t="s">
        <v>1588</v>
      </c>
      <c r="E30" s="12" t="s">
        <v>1589</v>
      </c>
      <c r="F30" s="12" t="s">
        <v>1590</v>
      </c>
      <c r="G30" s="7" t="s">
        <v>1591</v>
      </c>
      <c r="H30" s="13" t="s">
        <v>70</v>
      </c>
      <c r="I30" s="13"/>
      <c r="J30" s="13"/>
      <c r="K30" s="13"/>
      <c r="L30" s="13"/>
      <c r="M30" s="7" t="str">
        <f t="shared" si="1"/>
        <v>Not run</v>
      </c>
    </row>
  </sheetData>
  <conditionalFormatting sqref="H7:M24">
    <cfRule type="containsText" dxfId="3" priority="1" operator="containsText" text="Blocked"/>
    <cfRule type="containsText" dxfId="2" priority="5" operator="containsText" text="Open"/>
  </conditionalFormatting>
  <dataValidations count="1">
    <dataValidation type="list" sqref="H7:H30" xr:uid="{00000000-0002-0000-0600-000000000000}">
      <formula1>"Not run,Passed,Failed,Blocked,Not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0" customWidth="1"/>
    <col min="2" max="2" width="30" customWidth="1"/>
    <col min="3" max="3" width="40" customWidth="1"/>
    <col min="4" max="4" width="72" customWidth="1"/>
    <col min="5" max="6" width="74" customWidth="1"/>
    <col min="7" max="7" width="36" customWidth="1"/>
    <col min="8" max="8" width="30" customWidth="1"/>
    <col min="9" max="9" width="24" customWidth="1"/>
    <col min="10" max="10" width="22" customWidth="1"/>
    <col min="11" max="11" width="62" customWidth="1"/>
  </cols>
  <sheetData>
    <row r="1" spans="1:1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2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3.1" customHeight="1">
      <c r="A4" s="4" t="s">
        <v>89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3.950000000000003" customHeight="1">
      <c r="A6" s="6" t="s">
        <v>3</v>
      </c>
      <c r="B6" s="6" t="s">
        <v>90</v>
      </c>
      <c r="C6" s="6" t="s">
        <v>91</v>
      </c>
      <c r="D6" s="6" t="s">
        <v>92</v>
      </c>
      <c r="E6" s="6" t="s">
        <v>93</v>
      </c>
      <c r="F6" s="6" t="s">
        <v>94</v>
      </c>
      <c r="G6" s="6" t="s">
        <v>95</v>
      </c>
      <c r="H6" s="6" t="s">
        <v>96</v>
      </c>
      <c r="I6" s="6" t="s">
        <v>51</v>
      </c>
      <c r="J6" s="6" t="s">
        <v>53</v>
      </c>
      <c r="K6" s="6" t="s">
        <v>97</v>
      </c>
    </row>
    <row r="7" spans="1:11" ht="45" customHeight="1">
      <c r="A7" s="7" t="s">
        <v>98</v>
      </c>
      <c r="B7" s="7" t="s">
        <v>1592</v>
      </c>
      <c r="C7" s="7" t="s">
        <v>1593</v>
      </c>
      <c r="D7" s="7" t="s">
        <v>1594</v>
      </c>
      <c r="E7" s="8" t="s">
        <v>1595</v>
      </c>
      <c r="F7" s="7" t="s">
        <v>1596</v>
      </c>
      <c r="G7" s="7" t="s">
        <v>1597</v>
      </c>
      <c r="H7" s="7" t="s">
        <v>1598</v>
      </c>
      <c r="I7" s="9"/>
      <c r="J7" s="9" t="s">
        <v>99</v>
      </c>
      <c r="K7" s="9"/>
    </row>
    <row r="8" spans="1:11" ht="45" customHeight="1">
      <c r="A8" s="7" t="s">
        <v>100</v>
      </c>
      <c r="B8" s="7" t="s">
        <v>1599</v>
      </c>
      <c r="C8" s="7" t="s">
        <v>1600</v>
      </c>
      <c r="D8" s="7" t="s">
        <v>1601</v>
      </c>
      <c r="E8" s="8" t="s">
        <v>1602</v>
      </c>
      <c r="F8" s="7" t="s">
        <v>1603</v>
      </c>
      <c r="G8" s="7" t="s">
        <v>920</v>
      </c>
      <c r="H8" s="7" t="s">
        <v>1604</v>
      </c>
      <c r="I8" s="9"/>
      <c r="J8" s="9" t="s">
        <v>99</v>
      </c>
      <c r="K8" s="9"/>
    </row>
    <row r="9" spans="1:11" ht="45" customHeight="1">
      <c r="A9" s="7" t="s">
        <v>101</v>
      </c>
      <c r="B9" s="7" t="s">
        <v>1599</v>
      </c>
      <c r="C9" s="7" t="s">
        <v>1605</v>
      </c>
      <c r="D9" s="7" t="s">
        <v>1606</v>
      </c>
      <c r="E9" s="8" t="s">
        <v>1607</v>
      </c>
      <c r="F9" s="7" t="s">
        <v>1608</v>
      </c>
      <c r="G9" s="7" t="s">
        <v>920</v>
      </c>
      <c r="H9" s="7" t="s">
        <v>1609</v>
      </c>
      <c r="I9" s="9"/>
      <c r="J9" s="9" t="s">
        <v>99</v>
      </c>
      <c r="K9" s="9"/>
    </row>
    <row r="10" spans="1:11" ht="45" customHeight="1">
      <c r="A10" s="7" t="s">
        <v>102</v>
      </c>
      <c r="B10" s="7" t="s">
        <v>1610</v>
      </c>
      <c r="C10" s="7" t="s">
        <v>1611</v>
      </c>
      <c r="D10" s="7" t="s">
        <v>1612</v>
      </c>
      <c r="E10" s="8" t="s">
        <v>1613</v>
      </c>
      <c r="F10" s="7" t="s">
        <v>1614</v>
      </c>
      <c r="G10" s="7" t="s">
        <v>1615</v>
      </c>
      <c r="H10" s="7" t="s">
        <v>1616</v>
      </c>
      <c r="I10" s="9"/>
      <c r="J10" s="9" t="s">
        <v>99</v>
      </c>
      <c r="K10" s="9"/>
    </row>
    <row r="11" spans="1:11" ht="45" customHeight="1">
      <c r="A11" s="7" t="s">
        <v>103</v>
      </c>
      <c r="B11" s="7" t="s">
        <v>1617</v>
      </c>
      <c r="C11" s="7" t="s">
        <v>1618</v>
      </c>
      <c r="D11" s="7" t="s">
        <v>1619</v>
      </c>
      <c r="E11" s="8" t="s">
        <v>1620</v>
      </c>
      <c r="F11" s="7" t="s">
        <v>1621</v>
      </c>
      <c r="G11" s="7" t="s">
        <v>1622</v>
      </c>
      <c r="H11" s="7" t="s">
        <v>1623</v>
      </c>
      <c r="I11" s="9"/>
      <c r="J11" s="9" t="s">
        <v>99</v>
      </c>
      <c r="K11" s="9"/>
    </row>
    <row r="12" spans="1:11" ht="45" customHeight="1">
      <c r="A12" s="7" t="s">
        <v>104</v>
      </c>
      <c r="B12" s="7" t="s">
        <v>1624</v>
      </c>
      <c r="C12" s="7" t="s">
        <v>1625</v>
      </c>
      <c r="D12" s="7" t="s">
        <v>1626</v>
      </c>
      <c r="E12" s="8" t="s">
        <v>1627</v>
      </c>
      <c r="F12" s="7" t="s">
        <v>1628</v>
      </c>
      <c r="G12" s="7" t="s">
        <v>1629</v>
      </c>
      <c r="H12" s="7" t="s">
        <v>1630</v>
      </c>
      <c r="I12" s="9"/>
      <c r="J12" s="9" t="s">
        <v>99</v>
      </c>
      <c r="K12" s="9"/>
    </row>
    <row r="13" spans="1:11" ht="45" customHeight="1">
      <c r="A13" s="7" t="s">
        <v>105</v>
      </c>
      <c r="B13" s="7" t="s">
        <v>1631</v>
      </c>
      <c r="C13" s="7" t="s">
        <v>1632</v>
      </c>
      <c r="D13" s="7" t="s">
        <v>1633</v>
      </c>
      <c r="E13" s="8" t="s">
        <v>1634</v>
      </c>
      <c r="F13" s="7" t="s">
        <v>1635</v>
      </c>
      <c r="G13" s="7" t="s">
        <v>1636</v>
      </c>
      <c r="H13" s="7" t="s">
        <v>1637</v>
      </c>
      <c r="I13" s="9"/>
      <c r="J13" s="9" t="s">
        <v>99</v>
      </c>
      <c r="K13" s="9"/>
    </row>
    <row r="14" spans="1:11" ht="45" customHeight="1">
      <c r="A14" s="7" t="s">
        <v>106</v>
      </c>
      <c r="B14" s="7" t="s">
        <v>1638</v>
      </c>
      <c r="C14" s="7" t="s">
        <v>1639</v>
      </c>
      <c r="D14" s="7" t="s">
        <v>1640</v>
      </c>
      <c r="E14" s="8" t="s">
        <v>1641</v>
      </c>
      <c r="F14" s="7" t="s">
        <v>1642</v>
      </c>
      <c r="G14" s="7" t="s">
        <v>1629</v>
      </c>
      <c r="H14" s="7" t="s">
        <v>1643</v>
      </c>
      <c r="I14" s="9"/>
      <c r="J14" s="9" t="s">
        <v>99</v>
      </c>
      <c r="K14" s="9"/>
    </row>
    <row r="15" spans="1:11" ht="45" customHeight="1">
      <c r="A15" s="7" t="s">
        <v>107</v>
      </c>
      <c r="B15" s="7" t="s">
        <v>1644</v>
      </c>
      <c r="C15" s="7" t="s">
        <v>1645</v>
      </c>
      <c r="D15" s="7" t="s">
        <v>1646</v>
      </c>
      <c r="E15" s="8" t="s">
        <v>1647</v>
      </c>
      <c r="F15" s="7" t="s">
        <v>1648</v>
      </c>
      <c r="G15" s="7" t="s">
        <v>1629</v>
      </c>
      <c r="H15" s="7" t="s">
        <v>1649</v>
      </c>
      <c r="I15" s="9"/>
      <c r="J15" s="9" t="s">
        <v>99</v>
      </c>
      <c r="K15" s="9"/>
    </row>
    <row r="16" spans="1:11" ht="45" customHeight="1">
      <c r="A16" s="7" t="s">
        <v>108</v>
      </c>
      <c r="B16" s="7" t="s">
        <v>1650</v>
      </c>
      <c r="C16" s="7" t="s">
        <v>1651</v>
      </c>
      <c r="D16" s="7" t="s">
        <v>1652</v>
      </c>
      <c r="E16" s="8" t="s">
        <v>1653</v>
      </c>
      <c r="F16" s="7" t="s">
        <v>1654</v>
      </c>
      <c r="G16" s="7" t="s">
        <v>1655</v>
      </c>
      <c r="H16" s="7" t="s">
        <v>1656</v>
      </c>
      <c r="I16" s="9"/>
      <c r="J16" s="9" t="s">
        <v>99</v>
      </c>
      <c r="K16" s="9"/>
    </row>
    <row r="17" spans="1:11" ht="45" customHeight="1">
      <c r="A17" s="7" t="s">
        <v>109</v>
      </c>
      <c r="B17" s="7" t="s">
        <v>1657</v>
      </c>
      <c r="C17" s="7" t="s">
        <v>1658</v>
      </c>
      <c r="D17" s="7" t="s">
        <v>1659</v>
      </c>
      <c r="E17" s="8" t="s">
        <v>1660</v>
      </c>
      <c r="F17" s="7" t="s">
        <v>1661</v>
      </c>
      <c r="G17" s="7" t="s">
        <v>1662</v>
      </c>
      <c r="H17" s="7" t="s">
        <v>1663</v>
      </c>
      <c r="I17" s="9"/>
      <c r="J17" s="9" t="s">
        <v>99</v>
      </c>
      <c r="K17" s="9"/>
    </row>
    <row r="18" spans="1:11" ht="45" customHeight="1">
      <c r="A18" s="7" t="s">
        <v>110</v>
      </c>
      <c r="B18" s="7" t="s">
        <v>1664</v>
      </c>
      <c r="C18" s="7" t="s">
        <v>1665</v>
      </c>
      <c r="D18" s="7" t="s">
        <v>1666</v>
      </c>
      <c r="E18" s="8" t="s">
        <v>1667</v>
      </c>
      <c r="F18" s="7" t="s">
        <v>1668</v>
      </c>
      <c r="G18" s="7" t="s">
        <v>1636</v>
      </c>
      <c r="H18" s="7" t="s">
        <v>1669</v>
      </c>
      <c r="I18" s="9"/>
      <c r="J18" s="9" t="s">
        <v>99</v>
      </c>
      <c r="K18" s="9"/>
    </row>
    <row r="19" spans="1:11" ht="45" customHeight="1">
      <c r="A19" s="7" t="s">
        <v>111</v>
      </c>
      <c r="B19" s="7" t="s">
        <v>1670</v>
      </c>
      <c r="C19" s="7" t="s">
        <v>1671</v>
      </c>
      <c r="D19" s="7" t="s">
        <v>1672</v>
      </c>
      <c r="E19" s="8" t="s">
        <v>1673</v>
      </c>
      <c r="F19" s="7" t="s">
        <v>1674</v>
      </c>
      <c r="G19" s="7" t="s">
        <v>1629</v>
      </c>
      <c r="H19" s="7" t="s">
        <v>1675</v>
      </c>
      <c r="I19" s="9"/>
      <c r="J19" s="9" t="s">
        <v>99</v>
      </c>
      <c r="K19" s="9"/>
    </row>
    <row r="20" spans="1:11" ht="45" customHeight="1">
      <c r="A20" s="7" t="s">
        <v>112</v>
      </c>
      <c r="B20" s="7" t="s">
        <v>1676</v>
      </c>
      <c r="C20" s="7" t="s">
        <v>1677</v>
      </c>
      <c r="D20" s="7" t="s">
        <v>1678</v>
      </c>
      <c r="E20" s="8" t="s">
        <v>1679</v>
      </c>
      <c r="F20" s="7" t="s">
        <v>1680</v>
      </c>
      <c r="G20" s="7" t="s">
        <v>1681</v>
      </c>
      <c r="H20" s="7" t="s">
        <v>1682</v>
      </c>
      <c r="I20" s="9"/>
      <c r="J20" s="9" t="s">
        <v>99</v>
      </c>
      <c r="K20" s="9"/>
    </row>
    <row r="21" spans="1:11" ht="45" customHeight="1">
      <c r="A21" s="7" t="s">
        <v>113</v>
      </c>
      <c r="B21" s="7" t="s">
        <v>1683</v>
      </c>
      <c r="C21" s="7" t="s">
        <v>1684</v>
      </c>
      <c r="D21" s="7" t="s">
        <v>1685</v>
      </c>
      <c r="E21" s="8" t="s">
        <v>1686</v>
      </c>
      <c r="F21" s="7" t="s">
        <v>1687</v>
      </c>
      <c r="G21" s="7" t="s">
        <v>1629</v>
      </c>
      <c r="H21" s="7" t="s">
        <v>1688</v>
      </c>
      <c r="I21" s="9"/>
      <c r="J21" s="9" t="s">
        <v>99</v>
      </c>
      <c r="K21" s="9"/>
    </row>
    <row r="22" spans="1:11" ht="45" customHeight="1">
      <c r="A22" s="7" t="s">
        <v>114</v>
      </c>
      <c r="B22" s="7" t="s">
        <v>1689</v>
      </c>
      <c r="C22" s="7" t="s">
        <v>1690</v>
      </c>
      <c r="D22" s="7" t="s">
        <v>1691</v>
      </c>
      <c r="E22" s="8" t="s">
        <v>1692</v>
      </c>
      <c r="F22" s="7" t="s">
        <v>1693</v>
      </c>
      <c r="G22" s="7" t="s">
        <v>1694</v>
      </c>
      <c r="H22" s="7" t="s">
        <v>1695</v>
      </c>
      <c r="I22" s="9"/>
      <c r="J22" s="9" t="s">
        <v>99</v>
      </c>
      <c r="K22" s="9"/>
    </row>
    <row r="23" spans="1:11" ht="45" customHeight="1">
      <c r="A23" s="7" t="s">
        <v>115</v>
      </c>
      <c r="B23" s="7" t="s">
        <v>679</v>
      </c>
      <c r="C23" s="7" t="s">
        <v>1696</v>
      </c>
      <c r="D23" s="7" t="s">
        <v>1697</v>
      </c>
      <c r="E23" s="8" t="s">
        <v>1698</v>
      </c>
      <c r="F23" s="7" t="s">
        <v>1699</v>
      </c>
      <c r="G23" s="7" t="s">
        <v>1700</v>
      </c>
      <c r="H23" s="7" t="s">
        <v>20</v>
      </c>
      <c r="I23" s="9"/>
      <c r="J23" s="9" t="s">
        <v>99</v>
      </c>
      <c r="K23" s="9"/>
    </row>
    <row r="24" spans="1:11" ht="57" customHeight="1">
      <c r="A24" s="7" t="s">
        <v>116</v>
      </c>
      <c r="B24" s="7" t="s">
        <v>1701</v>
      </c>
      <c r="C24" s="7" t="s">
        <v>1702</v>
      </c>
      <c r="D24" s="7" t="s">
        <v>1703</v>
      </c>
      <c r="E24" s="8" t="s">
        <v>1704</v>
      </c>
      <c r="F24" s="7" t="s">
        <v>1705</v>
      </c>
      <c r="G24" s="7" t="s">
        <v>920</v>
      </c>
      <c r="H24" s="7" t="s">
        <v>1706</v>
      </c>
      <c r="I24" s="9"/>
      <c r="J24" s="9" t="s">
        <v>99</v>
      </c>
      <c r="K24" s="9"/>
    </row>
    <row r="25" spans="1:11" ht="45" customHeight="1">
      <c r="A25" s="7" t="s">
        <v>117</v>
      </c>
      <c r="B25" s="7" t="s">
        <v>1707</v>
      </c>
      <c r="C25" s="7" t="s">
        <v>1708</v>
      </c>
      <c r="D25" s="7" t="s">
        <v>1709</v>
      </c>
      <c r="E25" s="8" t="s">
        <v>1710</v>
      </c>
      <c r="F25" s="7" t="s">
        <v>1711</v>
      </c>
      <c r="G25" s="7" t="s">
        <v>920</v>
      </c>
      <c r="H25" s="7" t="s">
        <v>1712</v>
      </c>
      <c r="I25" s="9"/>
      <c r="J25" s="9" t="s">
        <v>99</v>
      </c>
      <c r="K25" s="9"/>
    </row>
    <row r="26" spans="1:11" ht="45" customHeight="1">
      <c r="A26" s="7" t="s">
        <v>118</v>
      </c>
      <c r="B26" s="7" t="s">
        <v>1713</v>
      </c>
      <c r="C26" s="7" t="s">
        <v>1714</v>
      </c>
      <c r="D26" s="7" t="s">
        <v>1715</v>
      </c>
      <c r="E26" s="8" t="s">
        <v>1716</v>
      </c>
      <c r="F26" s="7" t="s">
        <v>1717</v>
      </c>
      <c r="G26" s="7" t="s">
        <v>1718</v>
      </c>
      <c r="H26" s="7" t="s">
        <v>1719</v>
      </c>
      <c r="I26" s="9"/>
      <c r="J26" s="9" t="s">
        <v>99</v>
      </c>
      <c r="K26" s="9"/>
    </row>
    <row r="27" spans="1:11" ht="45" customHeight="1">
      <c r="A27" s="7" t="s">
        <v>1720</v>
      </c>
      <c r="B27" s="7" t="s">
        <v>1721</v>
      </c>
      <c r="C27" s="7" t="s">
        <v>1722</v>
      </c>
      <c r="D27" s="7" t="s">
        <v>1723</v>
      </c>
      <c r="E27" s="12" t="s">
        <v>1724</v>
      </c>
      <c r="F27" s="12" t="s">
        <v>1725</v>
      </c>
      <c r="G27" s="7" t="s">
        <v>1726</v>
      </c>
      <c r="H27" s="7" t="s">
        <v>1727</v>
      </c>
      <c r="I27" s="13"/>
      <c r="J27" s="13" t="s">
        <v>99</v>
      </c>
      <c r="K27" s="13"/>
    </row>
    <row r="28" spans="1:11" ht="45" customHeight="1">
      <c r="A28" s="7" t="s">
        <v>1728</v>
      </c>
      <c r="B28" s="7" t="s">
        <v>1729</v>
      </c>
      <c r="C28" s="7" t="s">
        <v>1730</v>
      </c>
      <c r="D28" s="7" t="s">
        <v>1731</v>
      </c>
      <c r="E28" s="12" t="s">
        <v>1732</v>
      </c>
      <c r="F28" s="12" t="s">
        <v>1733</v>
      </c>
      <c r="G28" s="7" t="s">
        <v>1734</v>
      </c>
      <c r="H28" s="7" t="s">
        <v>1735</v>
      </c>
      <c r="I28" s="13"/>
      <c r="J28" s="13" t="s">
        <v>99</v>
      </c>
      <c r="K28" s="13"/>
    </row>
    <row r="29" spans="1:11" ht="45" customHeight="1">
      <c r="A29" s="7" t="s">
        <v>1572</v>
      </c>
      <c r="B29" s="7" t="s">
        <v>1736</v>
      </c>
      <c r="C29" s="7" t="s">
        <v>1737</v>
      </c>
      <c r="D29" s="7" t="s">
        <v>1738</v>
      </c>
      <c r="E29" s="12" t="s">
        <v>1739</v>
      </c>
      <c r="F29" s="12" t="s">
        <v>1740</v>
      </c>
      <c r="G29" s="7" t="s">
        <v>1741</v>
      </c>
      <c r="H29" s="7" t="s">
        <v>1742</v>
      </c>
      <c r="I29" s="13"/>
      <c r="J29" s="13" t="s">
        <v>99</v>
      </c>
      <c r="K29" s="13"/>
    </row>
    <row r="30" spans="1:11" ht="45" customHeight="1">
      <c r="A30" s="7" t="s">
        <v>1743</v>
      </c>
      <c r="B30" s="7" t="s">
        <v>1744</v>
      </c>
      <c r="C30" s="7" t="s">
        <v>1745</v>
      </c>
      <c r="D30" s="7" t="s">
        <v>1746</v>
      </c>
      <c r="E30" s="12" t="s">
        <v>1747</v>
      </c>
      <c r="F30" s="12" t="s">
        <v>1748</v>
      </c>
      <c r="G30" s="7" t="s">
        <v>1749</v>
      </c>
      <c r="H30" s="7" t="s">
        <v>1750</v>
      </c>
      <c r="I30" s="13"/>
      <c r="J30" s="13" t="s">
        <v>99</v>
      </c>
      <c r="K30" s="13"/>
    </row>
    <row r="31" spans="1:11" ht="45" customHeight="1">
      <c r="A31" s="7" t="s">
        <v>1751</v>
      </c>
      <c r="B31" s="7" t="s">
        <v>1752</v>
      </c>
      <c r="C31" s="7" t="s">
        <v>1753</v>
      </c>
      <c r="D31" s="7" t="s">
        <v>1754</v>
      </c>
      <c r="E31" s="12" t="s">
        <v>1755</v>
      </c>
      <c r="F31" s="12" t="s">
        <v>1756</v>
      </c>
      <c r="G31" s="7" t="s">
        <v>1757</v>
      </c>
      <c r="H31" s="7" t="s">
        <v>1758</v>
      </c>
      <c r="I31" s="13"/>
      <c r="J31" s="13" t="s">
        <v>99</v>
      </c>
      <c r="K31" s="13"/>
    </row>
    <row r="32" spans="1:11" ht="45" customHeight="1">
      <c r="A32" s="7" t="s">
        <v>1759</v>
      </c>
      <c r="B32" s="7" t="s">
        <v>1760</v>
      </c>
      <c r="C32" s="7" t="s">
        <v>1761</v>
      </c>
      <c r="D32" s="7" t="s">
        <v>1762</v>
      </c>
      <c r="E32" s="12" t="s">
        <v>1763</v>
      </c>
      <c r="F32" s="12" t="s">
        <v>1764</v>
      </c>
      <c r="G32" s="7" t="s">
        <v>1765</v>
      </c>
      <c r="H32" s="7" t="s">
        <v>1766</v>
      </c>
      <c r="I32" s="13"/>
      <c r="J32" s="13" t="s">
        <v>99</v>
      </c>
      <c r="K32" s="13"/>
    </row>
  </sheetData>
  <conditionalFormatting sqref="J7:J26">
    <cfRule type="containsText" dxfId="1" priority="1" operator="containsText" text="Blocked"/>
    <cfRule type="containsText" dxfId="0" priority="5" operator="containsText" text="Open"/>
  </conditionalFormatting>
  <dataValidations count="2">
    <dataValidation type="list" sqref="J7:J26" xr:uid="{00000000-0002-0000-0700-000000000000}">
      <formula1>"Open,Resolved,Deferred,Needs source"</formula1>
    </dataValidation>
    <dataValidation type="list" sqref="J27:J32" xr:uid="{00000000-0002-0000-0700-000001000000}">
      <formula1>"Open,Resolved,Deferred,Needs evidence"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898AA"/>
  </sheetPr>
  <dimension ref="A1:I17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C9" sqref="C9"/>
    </sheetView>
  </sheetViews>
  <sheetFormatPr defaultRowHeight="14.25"/>
  <cols>
    <col min="1" max="2" width="12" customWidth="1"/>
    <col min="3" max="3" width="41" customWidth="1"/>
    <col min="4" max="4" width="38" customWidth="1"/>
    <col min="5" max="6" width="14" customWidth="1"/>
    <col min="7" max="7" width="38" customWidth="1"/>
    <col min="8" max="8" width="115" customWidth="1"/>
    <col min="9" max="9" width="50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27.95" customHeight="1">
      <c r="A2" s="2" t="s">
        <v>119</v>
      </c>
      <c r="B2" s="1"/>
      <c r="C2" s="1"/>
      <c r="D2" s="1"/>
      <c r="E2" s="1"/>
      <c r="F2" s="1"/>
      <c r="G2" s="1"/>
      <c r="H2" s="1"/>
      <c r="I2" s="1"/>
    </row>
    <row r="3" spans="1:9" ht="6.95" customHeight="1">
      <c r="A3" s="3"/>
      <c r="B3" s="3"/>
      <c r="C3" s="3"/>
      <c r="D3" s="3"/>
      <c r="E3" s="3"/>
      <c r="F3" s="3"/>
      <c r="G3" s="3"/>
      <c r="H3" s="3"/>
      <c r="I3" s="3"/>
    </row>
    <row r="4" spans="1:9" ht="23.1" customHeight="1">
      <c r="A4" s="4" t="s">
        <v>120</v>
      </c>
      <c r="B4" s="1"/>
      <c r="C4" s="1"/>
      <c r="D4" s="1"/>
      <c r="E4" s="1"/>
      <c r="F4" s="1"/>
      <c r="G4" s="1"/>
      <c r="H4" s="1"/>
      <c r="I4" s="1"/>
    </row>
    <row r="5" spans="1:9" ht="23.1" customHeight="1">
      <c r="A5" s="4" t="s">
        <v>121</v>
      </c>
      <c r="B5" s="1"/>
      <c r="C5" s="1"/>
      <c r="D5" s="1"/>
      <c r="E5" s="1"/>
      <c r="F5" s="1"/>
      <c r="G5" s="1"/>
      <c r="H5" s="1"/>
      <c r="I5" s="1"/>
    </row>
    <row r="6" spans="1:9" ht="23.1" customHeight="1">
      <c r="A6" s="4" t="s">
        <v>122</v>
      </c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 ht="33.950000000000003" customHeight="1">
      <c r="A8" s="6" t="s">
        <v>123</v>
      </c>
      <c r="B8" s="6" t="s">
        <v>124</v>
      </c>
      <c r="C8" s="6" t="s">
        <v>125</v>
      </c>
      <c r="D8" s="6" t="s">
        <v>126</v>
      </c>
      <c r="E8" s="6" t="s">
        <v>127</v>
      </c>
      <c r="F8" s="6" t="s">
        <v>128</v>
      </c>
      <c r="G8" s="6" t="s">
        <v>129</v>
      </c>
      <c r="H8" s="6" t="s">
        <v>130</v>
      </c>
      <c r="I8" s="6" t="s">
        <v>131</v>
      </c>
    </row>
    <row r="9" spans="1:9" ht="57" customHeight="1">
      <c r="A9" s="7" t="s">
        <v>132</v>
      </c>
      <c r="B9" s="7" t="s">
        <v>133</v>
      </c>
      <c r="C9" s="7" t="s">
        <v>134</v>
      </c>
      <c r="D9" s="7" t="s">
        <v>135</v>
      </c>
      <c r="E9" s="11">
        <v>14</v>
      </c>
      <c r="F9" s="11">
        <v>14</v>
      </c>
      <c r="G9" s="7" t="s">
        <v>136</v>
      </c>
      <c r="H9" s="7" t="s">
        <v>137</v>
      </c>
      <c r="I9" s="9"/>
    </row>
    <row r="10" spans="1:9" ht="132" customHeight="1">
      <c r="A10" s="7" t="s">
        <v>138</v>
      </c>
      <c r="B10" s="7" t="s">
        <v>133</v>
      </c>
      <c r="C10" s="7" t="s">
        <v>134</v>
      </c>
      <c r="D10" s="7" t="s">
        <v>139</v>
      </c>
      <c r="E10" s="11">
        <v>15</v>
      </c>
      <c r="F10" s="11">
        <v>15</v>
      </c>
      <c r="G10" s="7" t="s">
        <v>136</v>
      </c>
      <c r="H10" s="7" t="s">
        <v>140</v>
      </c>
      <c r="I10" s="9"/>
    </row>
    <row r="11" spans="1:9" ht="117" customHeight="1">
      <c r="A11" s="7" t="s">
        <v>141</v>
      </c>
      <c r="B11" s="7" t="s">
        <v>133</v>
      </c>
      <c r="C11" s="7" t="s">
        <v>134</v>
      </c>
      <c r="D11" s="7" t="s">
        <v>142</v>
      </c>
      <c r="E11" s="11">
        <v>16</v>
      </c>
      <c r="F11" s="11">
        <v>16</v>
      </c>
      <c r="G11" s="7" t="s">
        <v>136</v>
      </c>
      <c r="H11" s="7" t="s">
        <v>143</v>
      </c>
      <c r="I11" s="9"/>
    </row>
    <row r="12" spans="1:9" ht="132" customHeight="1">
      <c r="A12" s="7" t="s">
        <v>144</v>
      </c>
      <c r="B12" s="7" t="s">
        <v>133</v>
      </c>
      <c r="C12" s="7" t="s">
        <v>134</v>
      </c>
      <c r="D12" s="7" t="s">
        <v>145</v>
      </c>
      <c r="E12" s="11">
        <v>17</v>
      </c>
      <c r="F12" s="11">
        <v>18</v>
      </c>
      <c r="G12" s="7" t="s">
        <v>136</v>
      </c>
      <c r="H12" s="7" t="s">
        <v>146</v>
      </c>
      <c r="I12" s="9"/>
    </row>
    <row r="13" spans="1:9" ht="132" customHeight="1">
      <c r="A13" s="7" t="s">
        <v>147</v>
      </c>
      <c r="B13" s="7" t="s">
        <v>133</v>
      </c>
      <c r="C13" s="7" t="s">
        <v>134</v>
      </c>
      <c r="D13" s="7" t="s">
        <v>148</v>
      </c>
      <c r="E13" s="11">
        <v>19</v>
      </c>
      <c r="F13" s="11">
        <v>19</v>
      </c>
      <c r="G13" s="7" t="s">
        <v>136</v>
      </c>
      <c r="H13" s="7" t="s">
        <v>149</v>
      </c>
      <c r="I13" s="9"/>
    </row>
    <row r="14" spans="1:9" ht="132" customHeight="1">
      <c r="A14" s="7" t="s">
        <v>150</v>
      </c>
      <c r="B14" s="7" t="s">
        <v>133</v>
      </c>
      <c r="C14" s="7" t="s">
        <v>134</v>
      </c>
      <c r="D14" s="7" t="s">
        <v>151</v>
      </c>
      <c r="E14" s="11">
        <v>20</v>
      </c>
      <c r="F14" s="11">
        <v>20</v>
      </c>
      <c r="G14" s="7" t="s">
        <v>136</v>
      </c>
      <c r="H14" s="7" t="s">
        <v>152</v>
      </c>
      <c r="I14" s="9"/>
    </row>
    <row r="15" spans="1:9" ht="132" customHeight="1">
      <c r="A15" s="7" t="s">
        <v>153</v>
      </c>
      <c r="B15" s="7" t="s">
        <v>133</v>
      </c>
      <c r="C15" s="7" t="s">
        <v>154</v>
      </c>
      <c r="D15" s="7" t="s">
        <v>155</v>
      </c>
      <c r="E15" s="11">
        <v>23</v>
      </c>
      <c r="F15" s="11">
        <v>45</v>
      </c>
      <c r="G15" s="7" t="s">
        <v>136</v>
      </c>
      <c r="H15" s="7" t="s">
        <v>156</v>
      </c>
      <c r="I15" s="9"/>
    </row>
    <row r="16" spans="1:9" ht="132" customHeight="1">
      <c r="A16" s="7" t="s">
        <v>157</v>
      </c>
      <c r="B16" s="7" t="s">
        <v>133</v>
      </c>
      <c r="C16" s="7" t="s">
        <v>154</v>
      </c>
      <c r="D16" s="7" t="s">
        <v>158</v>
      </c>
      <c r="E16" s="11">
        <v>46</v>
      </c>
      <c r="F16" s="11">
        <v>46</v>
      </c>
      <c r="G16" s="7" t="s">
        <v>136</v>
      </c>
      <c r="H16" s="7" t="s">
        <v>159</v>
      </c>
      <c r="I16" s="9"/>
    </row>
    <row r="17" spans="1:9" ht="87" customHeight="1">
      <c r="A17" s="7" t="s">
        <v>160</v>
      </c>
      <c r="B17" s="7" t="s">
        <v>133</v>
      </c>
      <c r="C17" s="7" t="s">
        <v>161</v>
      </c>
      <c r="D17" s="7" t="s">
        <v>162</v>
      </c>
      <c r="E17" s="11">
        <v>49</v>
      </c>
      <c r="F17" s="11">
        <v>49</v>
      </c>
      <c r="G17" s="7" t="s">
        <v>136</v>
      </c>
      <c r="H17" s="7" t="s">
        <v>163</v>
      </c>
      <c r="I17" s="9"/>
    </row>
    <row r="18" spans="1:9" ht="57" customHeight="1">
      <c r="A18" s="7" t="s">
        <v>164</v>
      </c>
      <c r="B18" s="7" t="s">
        <v>133</v>
      </c>
      <c r="C18" s="7" t="s">
        <v>161</v>
      </c>
      <c r="D18" s="7" t="s">
        <v>165</v>
      </c>
      <c r="E18" s="11">
        <v>50</v>
      </c>
      <c r="F18" s="11">
        <v>50</v>
      </c>
      <c r="G18" s="7" t="s">
        <v>136</v>
      </c>
      <c r="H18" s="7" t="s">
        <v>166</v>
      </c>
      <c r="I18" s="9"/>
    </row>
    <row r="19" spans="1:9" ht="57" customHeight="1">
      <c r="A19" s="7" t="s">
        <v>167</v>
      </c>
      <c r="B19" s="7" t="s">
        <v>133</v>
      </c>
      <c r="C19" s="7" t="s">
        <v>168</v>
      </c>
      <c r="D19" s="7" t="s">
        <v>169</v>
      </c>
      <c r="E19" s="11">
        <v>53</v>
      </c>
      <c r="F19" s="11">
        <v>53</v>
      </c>
      <c r="G19" s="7" t="s">
        <v>136</v>
      </c>
      <c r="H19" s="7" t="s">
        <v>170</v>
      </c>
      <c r="I19" s="9"/>
    </row>
    <row r="20" spans="1:9" ht="42" customHeight="1">
      <c r="A20" s="7" t="s">
        <v>171</v>
      </c>
      <c r="B20" s="7" t="s">
        <v>133</v>
      </c>
      <c r="C20" s="7" t="s">
        <v>168</v>
      </c>
      <c r="D20" s="7" t="s">
        <v>172</v>
      </c>
      <c r="E20" s="11">
        <v>54</v>
      </c>
      <c r="F20" s="11">
        <v>54</v>
      </c>
      <c r="G20" s="7" t="s">
        <v>136</v>
      </c>
      <c r="H20" s="7" t="s">
        <v>173</v>
      </c>
      <c r="I20" s="9"/>
    </row>
    <row r="21" spans="1:9" ht="57" customHeight="1">
      <c r="A21" s="7" t="s">
        <v>174</v>
      </c>
      <c r="B21" s="7" t="s">
        <v>133</v>
      </c>
      <c r="C21" s="7" t="s">
        <v>168</v>
      </c>
      <c r="D21" s="7" t="s">
        <v>175</v>
      </c>
      <c r="E21" s="11">
        <v>55</v>
      </c>
      <c r="F21" s="11">
        <v>55</v>
      </c>
      <c r="G21" s="7" t="s">
        <v>136</v>
      </c>
      <c r="H21" s="7" t="s">
        <v>176</v>
      </c>
      <c r="I21" s="9"/>
    </row>
    <row r="22" spans="1:9" ht="42" customHeight="1">
      <c r="A22" s="7" t="s">
        <v>177</v>
      </c>
      <c r="B22" s="7" t="s">
        <v>133</v>
      </c>
      <c r="C22" s="7" t="s">
        <v>168</v>
      </c>
      <c r="D22" s="7" t="s">
        <v>178</v>
      </c>
      <c r="E22" s="11">
        <v>56</v>
      </c>
      <c r="F22" s="11">
        <v>56</v>
      </c>
      <c r="G22" s="7" t="s">
        <v>136</v>
      </c>
      <c r="H22" s="7" t="s">
        <v>179</v>
      </c>
      <c r="I22" s="9"/>
    </row>
    <row r="23" spans="1:9" ht="57" customHeight="1">
      <c r="A23" s="7" t="s">
        <v>180</v>
      </c>
      <c r="B23" s="7" t="s">
        <v>133</v>
      </c>
      <c r="C23" s="7" t="s">
        <v>168</v>
      </c>
      <c r="D23" s="7" t="s">
        <v>181</v>
      </c>
      <c r="E23" s="11">
        <v>57</v>
      </c>
      <c r="F23" s="11">
        <v>57</v>
      </c>
      <c r="G23" s="7" t="s">
        <v>136</v>
      </c>
      <c r="H23" s="7" t="s">
        <v>182</v>
      </c>
      <c r="I23" s="9"/>
    </row>
    <row r="24" spans="1:9" ht="72" customHeight="1">
      <c r="A24" s="7" t="s">
        <v>183</v>
      </c>
      <c r="B24" s="7" t="s">
        <v>133</v>
      </c>
      <c r="C24" s="7" t="s">
        <v>168</v>
      </c>
      <c r="D24" s="7" t="s">
        <v>184</v>
      </c>
      <c r="E24" s="11">
        <v>58</v>
      </c>
      <c r="F24" s="11">
        <v>58</v>
      </c>
      <c r="G24" s="7" t="s">
        <v>136</v>
      </c>
      <c r="H24" s="7" t="s">
        <v>185</v>
      </c>
      <c r="I24" s="9"/>
    </row>
    <row r="25" spans="1:9" ht="72" customHeight="1">
      <c r="A25" s="7" t="s">
        <v>186</v>
      </c>
      <c r="B25" s="7" t="s">
        <v>133</v>
      </c>
      <c r="C25" s="7" t="s">
        <v>168</v>
      </c>
      <c r="D25" s="7" t="s">
        <v>187</v>
      </c>
      <c r="E25" s="11">
        <v>59</v>
      </c>
      <c r="F25" s="11">
        <v>59</v>
      </c>
      <c r="G25" s="7" t="s">
        <v>136</v>
      </c>
      <c r="H25" s="7" t="s">
        <v>188</v>
      </c>
      <c r="I25" s="9"/>
    </row>
    <row r="26" spans="1:9" ht="57" customHeight="1">
      <c r="A26" s="7" t="s">
        <v>189</v>
      </c>
      <c r="B26" s="7" t="s">
        <v>133</v>
      </c>
      <c r="C26" s="7" t="s">
        <v>168</v>
      </c>
      <c r="D26" s="7" t="s">
        <v>190</v>
      </c>
      <c r="E26" s="11">
        <v>60</v>
      </c>
      <c r="F26" s="11">
        <v>60</v>
      </c>
      <c r="G26" s="7" t="s">
        <v>136</v>
      </c>
      <c r="H26" s="7" t="s">
        <v>191</v>
      </c>
      <c r="I26" s="9"/>
    </row>
    <row r="27" spans="1:9" ht="42" customHeight="1">
      <c r="A27" s="7" t="s">
        <v>192</v>
      </c>
      <c r="B27" s="7" t="s">
        <v>133</v>
      </c>
      <c r="C27" s="7" t="s">
        <v>168</v>
      </c>
      <c r="D27" s="7" t="s">
        <v>193</v>
      </c>
      <c r="E27" s="11">
        <v>61</v>
      </c>
      <c r="F27" s="11">
        <v>62</v>
      </c>
      <c r="G27" s="7" t="s">
        <v>136</v>
      </c>
      <c r="H27" s="7" t="s">
        <v>194</v>
      </c>
      <c r="I27" s="9"/>
    </row>
    <row r="28" spans="1:9" ht="102" customHeight="1">
      <c r="A28" s="7" t="s">
        <v>195</v>
      </c>
      <c r="B28" s="7" t="s">
        <v>133</v>
      </c>
      <c r="C28" s="7" t="s">
        <v>196</v>
      </c>
      <c r="D28" s="7" t="s">
        <v>197</v>
      </c>
      <c r="E28" s="11">
        <v>65</v>
      </c>
      <c r="F28" s="11">
        <v>65</v>
      </c>
      <c r="G28" s="7" t="s">
        <v>136</v>
      </c>
      <c r="H28" s="7" t="s">
        <v>198</v>
      </c>
      <c r="I28" s="9"/>
    </row>
    <row r="29" spans="1:9" ht="57" customHeight="1">
      <c r="A29" s="7" t="s">
        <v>199</v>
      </c>
      <c r="B29" s="7" t="s">
        <v>133</v>
      </c>
      <c r="C29" s="7" t="s">
        <v>196</v>
      </c>
      <c r="D29" s="7" t="s">
        <v>200</v>
      </c>
      <c r="E29" s="11">
        <v>66</v>
      </c>
      <c r="F29" s="11">
        <v>66</v>
      </c>
      <c r="G29" s="7" t="s">
        <v>136</v>
      </c>
      <c r="H29" s="7" t="s">
        <v>201</v>
      </c>
      <c r="I29" s="9"/>
    </row>
    <row r="30" spans="1:9" ht="72" customHeight="1">
      <c r="A30" s="7" t="s">
        <v>202</v>
      </c>
      <c r="B30" s="7" t="s">
        <v>133</v>
      </c>
      <c r="C30" s="7" t="s">
        <v>196</v>
      </c>
      <c r="D30" s="7" t="s">
        <v>203</v>
      </c>
      <c r="E30" s="11">
        <v>67</v>
      </c>
      <c r="F30" s="11">
        <v>67</v>
      </c>
      <c r="G30" s="7" t="s">
        <v>136</v>
      </c>
      <c r="H30" s="7" t="s">
        <v>204</v>
      </c>
      <c r="I30" s="9"/>
    </row>
    <row r="31" spans="1:9" ht="57" customHeight="1">
      <c r="A31" s="7" t="s">
        <v>205</v>
      </c>
      <c r="B31" s="7" t="s">
        <v>133</v>
      </c>
      <c r="C31" s="7" t="s">
        <v>206</v>
      </c>
      <c r="D31" s="7" t="s">
        <v>207</v>
      </c>
      <c r="E31" s="11">
        <v>70</v>
      </c>
      <c r="F31" s="11">
        <v>70</v>
      </c>
      <c r="G31" s="7" t="s">
        <v>136</v>
      </c>
      <c r="H31" s="7" t="s">
        <v>208</v>
      </c>
      <c r="I31" s="9"/>
    </row>
    <row r="32" spans="1:9" ht="57" customHeight="1">
      <c r="A32" s="7" t="s">
        <v>209</v>
      </c>
      <c r="B32" s="7" t="s">
        <v>133</v>
      </c>
      <c r="C32" s="7" t="s">
        <v>206</v>
      </c>
      <c r="D32" s="7" t="s">
        <v>210</v>
      </c>
      <c r="E32" s="11">
        <v>71</v>
      </c>
      <c r="F32" s="11">
        <v>71</v>
      </c>
      <c r="G32" s="7" t="s">
        <v>136</v>
      </c>
      <c r="H32" s="7" t="s">
        <v>211</v>
      </c>
      <c r="I32" s="9"/>
    </row>
    <row r="33" spans="1:9" ht="117" customHeight="1">
      <c r="A33" s="7" t="s">
        <v>212</v>
      </c>
      <c r="B33" s="7" t="s">
        <v>133</v>
      </c>
      <c r="C33" s="7" t="s">
        <v>206</v>
      </c>
      <c r="D33" s="7" t="s">
        <v>213</v>
      </c>
      <c r="E33" s="11">
        <v>72</v>
      </c>
      <c r="F33" s="11">
        <v>72</v>
      </c>
      <c r="G33" s="7" t="s">
        <v>136</v>
      </c>
      <c r="H33" s="7" t="s">
        <v>214</v>
      </c>
      <c r="I33" s="9"/>
    </row>
    <row r="34" spans="1:9" ht="42" customHeight="1">
      <c r="A34" s="7" t="s">
        <v>215</v>
      </c>
      <c r="B34" s="7" t="s">
        <v>133</v>
      </c>
      <c r="C34" s="7" t="s">
        <v>206</v>
      </c>
      <c r="D34" s="7" t="s">
        <v>216</v>
      </c>
      <c r="E34" s="11">
        <v>73</v>
      </c>
      <c r="F34" s="11">
        <v>73</v>
      </c>
      <c r="G34" s="7" t="s">
        <v>136</v>
      </c>
      <c r="H34" s="7" t="s">
        <v>217</v>
      </c>
      <c r="I34" s="9"/>
    </row>
    <row r="35" spans="1:9" ht="57" customHeight="1">
      <c r="A35" s="7" t="s">
        <v>218</v>
      </c>
      <c r="B35" s="7" t="s">
        <v>133</v>
      </c>
      <c r="C35" s="7" t="s">
        <v>219</v>
      </c>
      <c r="D35" s="7" t="s">
        <v>220</v>
      </c>
      <c r="E35" s="11">
        <v>76</v>
      </c>
      <c r="F35" s="11">
        <v>76</v>
      </c>
      <c r="G35" s="7" t="s">
        <v>136</v>
      </c>
      <c r="H35" s="7" t="s">
        <v>221</v>
      </c>
      <c r="I35" s="9"/>
    </row>
    <row r="36" spans="1:9" ht="57" customHeight="1">
      <c r="A36" s="7" t="s">
        <v>222</v>
      </c>
      <c r="B36" s="7" t="s">
        <v>133</v>
      </c>
      <c r="C36" s="7" t="s">
        <v>219</v>
      </c>
      <c r="D36" s="7" t="s">
        <v>223</v>
      </c>
      <c r="E36" s="11">
        <v>77</v>
      </c>
      <c r="F36" s="11">
        <v>77</v>
      </c>
      <c r="G36" s="7" t="s">
        <v>136</v>
      </c>
      <c r="H36" s="7" t="s">
        <v>224</v>
      </c>
      <c r="I36" s="9"/>
    </row>
    <row r="37" spans="1:9" ht="87" customHeight="1">
      <c r="A37" s="7" t="s">
        <v>225</v>
      </c>
      <c r="B37" s="7" t="s">
        <v>133</v>
      </c>
      <c r="C37" s="7" t="s">
        <v>219</v>
      </c>
      <c r="D37" s="7" t="s">
        <v>226</v>
      </c>
      <c r="E37" s="11">
        <v>78</v>
      </c>
      <c r="F37" s="11">
        <v>78</v>
      </c>
      <c r="G37" s="7" t="s">
        <v>136</v>
      </c>
      <c r="H37" s="7" t="s">
        <v>227</v>
      </c>
      <c r="I37" s="9"/>
    </row>
    <row r="38" spans="1:9" ht="87" customHeight="1">
      <c r="A38" s="7" t="s">
        <v>228</v>
      </c>
      <c r="B38" s="7" t="s">
        <v>133</v>
      </c>
      <c r="C38" s="7" t="s">
        <v>229</v>
      </c>
      <c r="D38" s="7" t="s">
        <v>230</v>
      </c>
      <c r="E38" s="11">
        <v>81</v>
      </c>
      <c r="F38" s="11">
        <v>81</v>
      </c>
      <c r="G38" s="7" t="s">
        <v>136</v>
      </c>
      <c r="H38" s="7" t="s">
        <v>231</v>
      </c>
      <c r="I38" s="9"/>
    </row>
    <row r="39" spans="1:9" ht="57" customHeight="1">
      <c r="A39" s="7" t="s">
        <v>232</v>
      </c>
      <c r="B39" s="7" t="s">
        <v>133</v>
      </c>
      <c r="C39" s="7" t="s">
        <v>229</v>
      </c>
      <c r="D39" s="7" t="s">
        <v>233</v>
      </c>
      <c r="E39" s="11">
        <v>82</v>
      </c>
      <c r="F39" s="11">
        <v>82</v>
      </c>
      <c r="G39" s="7" t="s">
        <v>136</v>
      </c>
      <c r="H39" s="7" t="s">
        <v>234</v>
      </c>
      <c r="I39" s="9"/>
    </row>
    <row r="40" spans="1:9" ht="72" customHeight="1">
      <c r="A40" s="7" t="s">
        <v>235</v>
      </c>
      <c r="B40" s="7" t="s">
        <v>133</v>
      </c>
      <c r="C40" s="7" t="s">
        <v>229</v>
      </c>
      <c r="D40" s="7" t="s">
        <v>236</v>
      </c>
      <c r="E40" s="11">
        <v>83</v>
      </c>
      <c r="F40" s="11">
        <v>83</v>
      </c>
      <c r="G40" s="7" t="s">
        <v>136</v>
      </c>
      <c r="H40" s="7" t="s">
        <v>237</v>
      </c>
      <c r="I40" s="9"/>
    </row>
    <row r="41" spans="1:9" ht="87" customHeight="1">
      <c r="A41" s="7" t="s">
        <v>238</v>
      </c>
      <c r="B41" s="7" t="s">
        <v>133</v>
      </c>
      <c r="C41" s="7" t="s">
        <v>229</v>
      </c>
      <c r="D41" s="7" t="s">
        <v>239</v>
      </c>
      <c r="E41" s="11">
        <v>84</v>
      </c>
      <c r="F41" s="11">
        <v>84</v>
      </c>
      <c r="G41" s="7" t="s">
        <v>136</v>
      </c>
      <c r="H41" s="7" t="s">
        <v>240</v>
      </c>
      <c r="I41" s="9"/>
    </row>
    <row r="42" spans="1:9" ht="102" customHeight="1">
      <c r="A42" s="7" t="s">
        <v>241</v>
      </c>
      <c r="B42" s="7" t="s">
        <v>133</v>
      </c>
      <c r="C42" s="7" t="s">
        <v>229</v>
      </c>
      <c r="D42" s="7" t="s">
        <v>242</v>
      </c>
      <c r="E42" s="11">
        <v>85</v>
      </c>
      <c r="F42" s="11">
        <v>85</v>
      </c>
      <c r="G42" s="7" t="s">
        <v>136</v>
      </c>
      <c r="H42" s="7" t="s">
        <v>243</v>
      </c>
      <c r="I42" s="9"/>
    </row>
    <row r="43" spans="1:9" ht="57" customHeight="1">
      <c r="A43" s="7" t="s">
        <v>244</v>
      </c>
      <c r="B43" s="7" t="s">
        <v>133</v>
      </c>
      <c r="C43" s="7" t="s">
        <v>229</v>
      </c>
      <c r="D43" s="7" t="s">
        <v>245</v>
      </c>
      <c r="E43" s="11">
        <v>86</v>
      </c>
      <c r="F43" s="11">
        <v>86</v>
      </c>
      <c r="G43" s="7" t="s">
        <v>136</v>
      </c>
      <c r="H43" s="7" t="s">
        <v>246</v>
      </c>
      <c r="I43" s="9"/>
    </row>
    <row r="44" spans="1:9" ht="57" customHeight="1">
      <c r="A44" s="7" t="s">
        <v>247</v>
      </c>
      <c r="B44" s="7" t="s">
        <v>133</v>
      </c>
      <c r="C44" s="7" t="s">
        <v>229</v>
      </c>
      <c r="D44" s="7" t="s">
        <v>248</v>
      </c>
      <c r="E44" s="11">
        <v>87</v>
      </c>
      <c r="F44" s="11">
        <v>87</v>
      </c>
      <c r="G44" s="7" t="s">
        <v>136</v>
      </c>
      <c r="H44" s="7" t="s">
        <v>249</v>
      </c>
      <c r="I44" s="9"/>
    </row>
    <row r="45" spans="1:9" ht="57" customHeight="1">
      <c r="A45" s="7" t="s">
        <v>250</v>
      </c>
      <c r="B45" s="7" t="s">
        <v>133</v>
      </c>
      <c r="C45" s="7" t="s">
        <v>251</v>
      </c>
      <c r="D45" s="7" t="s">
        <v>252</v>
      </c>
      <c r="E45" s="11">
        <v>90</v>
      </c>
      <c r="F45" s="11">
        <v>90</v>
      </c>
      <c r="G45" s="7" t="s">
        <v>136</v>
      </c>
      <c r="H45" s="7" t="s">
        <v>253</v>
      </c>
      <c r="I45" s="9"/>
    </row>
    <row r="46" spans="1:9" ht="102" customHeight="1">
      <c r="A46" s="7" t="s">
        <v>254</v>
      </c>
      <c r="B46" s="7" t="s">
        <v>133</v>
      </c>
      <c r="C46" s="7" t="s">
        <v>251</v>
      </c>
      <c r="D46" s="7" t="s">
        <v>255</v>
      </c>
      <c r="E46" s="11">
        <v>91</v>
      </c>
      <c r="F46" s="11">
        <v>96</v>
      </c>
      <c r="G46" s="7" t="s">
        <v>136</v>
      </c>
      <c r="H46" s="7" t="s">
        <v>256</v>
      </c>
      <c r="I46" s="9"/>
    </row>
    <row r="47" spans="1:9" ht="132" customHeight="1">
      <c r="A47" s="7" t="s">
        <v>257</v>
      </c>
      <c r="B47" s="7" t="s">
        <v>133</v>
      </c>
      <c r="C47" s="7" t="s">
        <v>251</v>
      </c>
      <c r="D47" s="7" t="s">
        <v>258</v>
      </c>
      <c r="E47" s="11">
        <v>97</v>
      </c>
      <c r="F47" s="11">
        <v>98</v>
      </c>
      <c r="G47" s="7" t="s">
        <v>136</v>
      </c>
      <c r="H47" s="7" t="s">
        <v>259</v>
      </c>
      <c r="I47" s="9"/>
    </row>
    <row r="48" spans="1:9" ht="57" customHeight="1">
      <c r="A48" s="7" t="s">
        <v>260</v>
      </c>
      <c r="B48" s="7" t="s">
        <v>133</v>
      </c>
      <c r="C48" s="7" t="s">
        <v>251</v>
      </c>
      <c r="D48" s="7" t="s">
        <v>261</v>
      </c>
      <c r="E48" s="11">
        <v>99</v>
      </c>
      <c r="F48" s="11">
        <v>99</v>
      </c>
      <c r="G48" s="7" t="s">
        <v>136</v>
      </c>
      <c r="H48" s="7" t="s">
        <v>262</v>
      </c>
      <c r="I48" s="9"/>
    </row>
    <row r="49" spans="1:9" ht="42" customHeight="1">
      <c r="A49" s="7" t="s">
        <v>263</v>
      </c>
      <c r="B49" s="7" t="s">
        <v>133</v>
      </c>
      <c r="C49" s="7" t="s">
        <v>251</v>
      </c>
      <c r="D49" s="7" t="s">
        <v>264</v>
      </c>
      <c r="E49" s="11">
        <v>100</v>
      </c>
      <c r="F49" s="11">
        <v>103</v>
      </c>
      <c r="G49" s="7" t="s">
        <v>136</v>
      </c>
      <c r="H49" s="7" t="s">
        <v>265</v>
      </c>
      <c r="I49" s="9"/>
    </row>
    <row r="50" spans="1:9" ht="42" customHeight="1">
      <c r="A50" s="7" t="s">
        <v>266</v>
      </c>
      <c r="B50" s="7" t="s">
        <v>133</v>
      </c>
      <c r="C50" s="7" t="s">
        <v>251</v>
      </c>
      <c r="D50" s="7" t="s">
        <v>267</v>
      </c>
      <c r="E50" s="11">
        <v>104</v>
      </c>
      <c r="F50" s="11">
        <v>105</v>
      </c>
      <c r="G50" s="7" t="s">
        <v>136</v>
      </c>
      <c r="H50" s="7" t="s">
        <v>268</v>
      </c>
      <c r="I50" s="9"/>
    </row>
    <row r="51" spans="1:9" ht="42" customHeight="1">
      <c r="A51" s="7" t="s">
        <v>269</v>
      </c>
      <c r="B51" s="7" t="s">
        <v>133</v>
      </c>
      <c r="C51" s="7" t="s">
        <v>251</v>
      </c>
      <c r="D51" s="7" t="s">
        <v>270</v>
      </c>
      <c r="E51" s="11">
        <v>106</v>
      </c>
      <c r="F51" s="11">
        <v>109</v>
      </c>
      <c r="G51" s="7" t="s">
        <v>136</v>
      </c>
      <c r="H51" s="7" t="s">
        <v>271</v>
      </c>
      <c r="I51" s="9"/>
    </row>
    <row r="52" spans="1:9" ht="42" customHeight="1">
      <c r="A52" s="7" t="s">
        <v>272</v>
      </c>
      <c r="B52" s="7" t="s">
        <v>133</v>
      </c>
      <c r="C52" s="7" t="s">
        <v>251</v>
      </c>
      <c r="D52" s="7" t="s">
        <v>273</v>
      </c>
      <c r="E52" s="11">
        <v>110</v>
      </c>
      <c r="F52" s="11">
        <v>112</v>
      </c>
      <c r="G52" s="7" t="s">
        <v>136</v>
      </c>
      <c r="H52" s="7" t="s">
        <v>274</v>
      </c>
      <c r="I52" s="9"/>
    </row>
    <row r="53" spans="1:9" ht="42" customHeight="1">
      <c r="A53" s="7" t="s">
        <v>275</v>
      </c>
      <c r="B53" s="7" t="s">
        <v>133</v>
      </c>
      <c r="C53" s="7" t="s">
        <v>276</v>
      </c>
      <c r="D53" s="7" t="s">
        <v>276</v>
      </c>
      <c r="E53" s="11">
        <v>115</v>
      </c>
      <c r="F53" s="11">
        <v>120</v>
      </c>
      <c r="G53" s="7" t="s">
        <v>136</v>
      </c>
      <c r="H53" s="7" t="s">
        <v>277</v>
      </c>
      <c r="I53" s="9"/>
    </row>
    <row r="54" spans="1:9" ht="102" customHeight="1">
      <c r="A54" s="7" t="s">
        <v>278</v>
      </c>
      <c r="B54" s="7" t="s">
        <v>133</v>
      </c>
      <c r="C54" s="7" t="s">
        <v>279</v>
      </c>
      <c r="D54" s="7" t="s">
        <v>280</v>
      </c>
      <c r="E54" s="11">
        <v>123</v>
      </c>
      <c r="F54" s="11">
        <v>123</v>
      </c>
      <c r="G54" s="7" t="s">
        <v>136</v>
      </c>
      <c r="H54" s="7" t="s">
        <v>281</v>
      </c>
      <c r="I54" s="9"/>
    </row>
    <row r="55" spans="1:9" ht="57" customHeight="1">
      <c r="A55" s="7" t="s">
        <v>282</v>
      </c>
      <c r="B55" s="7" t="s">
        <v>133</v>
      </c>
      <c r="C55" s="7" t="s">
        <v>279</v>
      </c>
      <c r="D55" s="7" t="s">
        <v>283</v>
      </c>
      <c r="E55" s="11">
        <v>124</v>
      </c>
      <c r="F55" s="11">
        <v>124</v>
      </c>
      <c r="G55" s="7" t="s">
        <v>136</v>
      </c>
      <c r="H55" s="7" t="s">
        <v>284</v>
      </c>
      <c r="I55" s="9"/>
    </row>
    <row r="56" spans="1:9" ht="57" customHeight="1">
      <c r="A56" s="7" t="s">
        <v>285</v>
      </c>
      <c r="B56" s="7" t="s">
        <v>133</v>
      </c>
      <c r="C56" s="7" t="s">
        <v>279</v>
      </c>
      <c r="D56" s="7" t="s">
        <v>286</v>
      </c>
      <c r="E56" s="11">
        <v>125</v>
      </c>
      <c r="F56" s="11">
        <v>125</v>
      </c>
      <c r="G56" s="7" t="s">
        <v>136</v>
      </c>
      <c r="H56" s="7" t="s">
        <v>287</v>
      </c>
      <c r="I56" s="9"/>
    </row>
    <row r="57" spans="1:9" ht="57" customHeight="1">
      <c r="A57" s="7" t="s">
        <v>288</v>
      </c>
      <c r="B57" s="7" t="s">
        <v>133</v>
      </c>
      <c r="C57" s="7" t="s">
        <v>279</v>
      </c>
      <c r="D57" s="7" t="s">
        <v>289</v>
      </c>
      <c r="E57" s="11">
        <v>126</v>
      </c>
      <c r="F57" s="11">
        <v>126</v>
      </c>
      <c r="G57" s="7" t="s">
        <v>136</v>
      </c>
      <c r="H57" s="7" t="s">
        <v>290</v>
      </c>
      <c r="I57" s="9"/>
    </row>
    <row r="58" spans="1:9" ht="87" customHeight="1">
      <c r="A58" s="7" t="s">
        <v>291</v>
      </c>
      <c r="B58" s="7" t="s">
        <v>133</v>
      </c>
      <c r="C58" s="7" t="s">
        <v>292</v>
      </c>
      <c r="D58" s="7" t="s">
        <v>293</v>
      </c>
      <c r="E58" s="11">
        <v>129</v>
      </c>
      <c r="F58" s="11">
        <v>129</v>
      </c>
      <c r="G58" s="7" t="s">
        <v>136</v>
      </c>
      <c r="H58" s="7" t="s">
        <v>294</v>
      </c>
      <c r="I58" s="9"/>
    </row>
    <row r="59" spans="1:9" ht="57" customHeight="1">
      <c r="A59" s="7" t="s">
        <v>295</v>
      </c>
      <c r="B59" s="7" t="s">
        <v>133</v>
      </c>
      <c r="C59" s="7" t="s">
        <v>296</v>
      </c>
      <c r="D59" s="7" t="s">
        <v>297</v>
      </c>
      <c r="E59" s="11">
        <v>132</v>
      </c>
      <c r="F59" s="11">
        <v>132</v>
      </c>
      <c r="G59" s="7" t="s">
        <v>136</v>
      </c>
      <c r="H59" s="7" t="s">
        <v>298</v>
      </c>
      <c r="I59" s="9"/>
    </row>
    <row r="60" spans="1:9" ht="42" customHeight="1">
      <c r="A60" s="7" t="s">
        <v>299</v>
      </c>
      <c r="B60" s="7" t="s">
        <v>133</v>
      </c>
      <c r="C60" s="7" t="s">
        <v>296</v>
      </c>
      <c r="D60" s="7" t="s">
        <v>300</v>
      </c>
      <c r="E60" s="11">
        <v>133</v>
      </c>
      <c r="F60" s="11">
        <v>133</v>
      </c>
      <c r="G60" s="7" t="s">
        <v>136</v>
      </c>
      <c r="H60" s="7" t="s">
        <v>301</v>
      </c>
      <c r="I60" s="9"/>
    </row>
    <row r="61" spans="1:9" ht="42" customHeight="1">
      <c r="A61" s="7" t="s">
        <v>302</v>
      </c>
      <c r="B61" s="7" t="s">
        <v>133</v>
      </c>
      <c r="C61" s="7" t="s">
        <v>296</v>
      </c>
      <c r="D61" s="7" t="s">
        <v>303</v>
      </c>
      <c r="E61" s="11">
        <v>134</v>
      </c>
      <c r="F61" s="11">
        <v>134</v>
      </c>
      <c r="G61" s="7" t="s">
        <v>136</v>
      </c>
      <c r="H61" s="7" t="s">
        <v>304</v>
      </c>
      <c r="I61" s="9"/>
    </row>
    <row r="62" spans="1:9" ht="57" customHeight="1">
      <c r="A62" s="7" t="s">
        <v>305</v>
      </c>
      <c r="B62" s="7" t="s">
        <v>133</v>
      </c>
      <c r="C62" s="7" t="s">
        <v>306</v>
      </c>
      <c r="D62" s="7" t="s">
        <v>307</v>
      </c>
      <c r="E62" s="11">
        <v>137</v>
      </c>
      <c r="F62" s="11">
        <v>137</v>
      </c>
      <c r="G62" s="7" t="s">
        <v>308</v>
      </c>
      <c r="H62" s="7" t="s">
        <v>309</v>
      </c>
      <c r="I62" s="9"/>
    </row>
    <row r="63" spans="1:9" ht="57" customHeight="1">
      <c r="A63" s="7" t="s">
        <v>310</v>
      </c>
      <c r="B63" s="7" t="s">
        <v>133</v>
      </c>
      <c r="C63" s="7" t="s">
        <v>306</v>
      </c>
      <c r="D63" s="7" t="s">
        <v>307</v>
      </c>
      <c r="E63" s="11">
        <v>140</v>
      </c>
      <c r="F63" s="11">
        <v>140</v>
      </c>
      <c r="G63" s="7" t="s">
        <v>308</v>
      </c>
      <c r="H63" s="7" t="s">
        <v>311</v>
      </c>
      <c r="I63" s="9"/>
    </row>
    <row r="64" spans="1:9" ht="57" customHeight="1">
      <c r="A64" s="7" t="s">
        <v>312</v>
      </c>
      <c r="B64" s="7" t="s">
        <v>133</v>
      </c>
      <c r="C64" s="7" t="s">
        <v>306</v>
      </c>
      <c r="D64" s="7" t="s">
        <v>307</v>
      </c>
      <c r="E64" s="11">
        <v>143</v>
      </c>
      <c r="F64" s="11">
        <v>143</v>
      </c>
      <c r="G64" s="7" t="s">
        <v>308</v>
      </c>
      <c r="H64" s="7" t="s">
        <v>313</v>
      </c>
      <c r="I64" s="9"/>
    </row>
    <row r="65" spans="1:9" ht="57" customHeight="1">
      <c r="A65" s="7" t="s">
        <v>314</v>
      </c>
      <c r="B65" s="7" t="s">
        <v>133</v>
      </c>
      <c r="C65" s="7" t="s">
        <v>306</v>
      </c>
      <c r="D65" s="7" t="s">
        <v>307</v>
      </c>
      <c r="E65" s="11">
        <v>146</v>
      </c>
      <c r="F65" s="11">
        <v>146</v>
      </c>
      <c r="G65" s="7" t="s">
        <v>308</v>
      </c>
      <c r="H65" s="7" t="s">
        <v>315</v>
      </c>
      <c r="I65" s="9"/>
    </row>
    <row r="66" spans="1:9" ht="57" customHeight="1">
      <c r="A66" s="7" t="s">
        <v>316</v>
      </c>
      <c r="B66" s="7" t="s">
        <v>133</v>
      </c>
      <c r="C66" s="7" t="s">
        <v>317</v>
      </c>
      <c r="D66" s="7" t="s">
        <v>307</v>
      </c>
      <c r="E66" s="11">
        <v>149</v>
      </c>
      <c r="F66" s="11">
        <v>149</v>
      </c>
      <c r="G66" s="7" t="s">
        <v>308</v>
      </c>
      <c r="H66" s="7" t="s">
        <v>318</v>
      </c>
      <c r="I66" s="9"/>
    </row>
    <row r="67" spans="1:9" ht="57" customHeight="1">
      <c r="A67" s="7" t="s">
        <v>319</v>
      </c>
      <c r="B67" s="7" t="s">
        <v>133</v>
      </c>
      <c r="C67" s="7" t="s">
        <v>320</v>
      </c>
      <c r="D67" s="7" t="s">
        <v>307</v>
      </c>
      <c r="E67" s="11">
        <v>152</v>
      </c>
      <c r="F67" s="11">
        <v>152</v>
      </c>
      <c r="G67" s="7" t="s">
        <v>308</v>
      </c>
      <c r="H67" s="7" t="s">
        <v>321</v>
      </c>
      <c r="I67" s="9"/>
    </row>
    <row r="68" spans="1:9" ht="57" customHeight="1">
      <c r="A68" s="7" t="s">
        <v>322</v>
      </c>
      <c r="B68" s="7" t="s">
        <v>133</v>
      </c>
      <c r="C68" s="7" t="s">
        <v>320</v>
      </c>
      <c r="D68" s="7" t="s">
        <v>307</v>
      </c>
      <c r="E68" s="11">
        <v>155</v>
      </c>
      <c r="F68" s="11">
        <v>155</v>
      </c>
      <c r="G68" s="7" t="s">
        <v>308</v>
      </c>
      <c r="H68" s="7" t="s">
        <v>323</v>
      </c>
      <c r="I68" s="9"/>
    </row>
    <row r="69" spans="1:9" ht="57" customHeight="1">
      <c r="A69" s="7" t="s">
        <v>324</v>
      </c>
      <c r="B69" s="7" t="s">
        <v>133</v>
      </c>
      <c r="C69" s="7" t="s">
        <v>320</v>
      </c>
      <c r="D69" s="7" t="s">
        <v>307</v>
      </c>
      <c r="E69" s="11">
        <v>158</v>
      </c>
      <c r="F69" s="11">
        <v>158</v>
      </c>
      <c r="G69" s="7" t="s">
        <v>308</v>
      </c>
      <c r="H69" s="7" t="s">
        <v>325</v>
      </c>
      <c r="I69" s="9"/>
    </row>
    <row r="70" spans="1:9" ht="57" customHeight="1">
      <c r="A70" s="7" t="s">
        <v>326</v>
      </c>
      <c r="B70" s="7" t="s">
        <v>133</v>
      </c>
      <c r="C70" s="7" t="s">
        <v>320</v>
      </c>
      <c r="D70" s="7" t="s">
        <v>307</v>
      </c>
      <c r="E70" s="11">
        <v>161</v>
      </c>
      <c r="F70" s="11">
        <v>161</v>
      </c>
      <c r="G70" s="7" t="s">
        <v>308</v>
      </c>
      <c r="H70" s="7" t="s">
        <v>327</v>
      </c>
      <c r="I70" s="9"/>
    </row>
    <row r="71" spans="1:9" ht="57" customHeight="1">
      <c r="A71" s="7" t="s">
        <v>328</v>
      </c>
      <c r="B71" s="7" t="s">
        <v>133</v>
      </c>
      <c r="C71" s="7" t="s">
        <v>320</v>
      </c>
      <c r="D71" s="7" t="s">
        <v>307</v>
      </c>
      <c r="E71" s="11">
        <v>164</v>
      </c>
      <c r="F71" s="11">
        <v>164</v>
      </c>
      <c r="G71" s="7" t="s">
        <v>308</v>
      </c>
      <c r="H71" s="7" t="s">
        <v>329</v>
      </c>
      <c r="I71" s="9"/>
    </row>
    <row r="72" spans="1:9" ht="57" customHeight="1">
      <c r="A72" s="7" t="s">
        <v>330</v>
      </c>
      <c r="B72" s="7" t="s">
        <v>133</v>
      </c>
      <c r="C72" s="7" t="s">
        <v>331</v>
      </c>
      <c r="D72" s="7" t="s">
        <v>332</v>
      </c>
      <c r="E72" s="11">
        <v>169</v>
      </c>
      <c r="F72" s="11">
        <v>169</v>
      </c>
      <c r="G72" s="7" t="s">
        <v>308</v>
      </c>
      <c r="H72" s="7" t="s">
        <v>333</v>
      </c>
      <c r="I72" s="9"/>
    </row>
    <row r="73" spans="1:9" ht="42" customHeight="1">
      <c r="A73" s="7" t="s">
        <v>334</v>
      </c>
      <c r="B73" s="7" t="s">
        <v>133</v>
      </c>
      <c r="C73" s="7" t="s">
        <v>331</v>
      </c>
      <c r="D73" s="7" t="s">
        <v>335</v>
      </c>
      <c r="E73" s="11">
        <v>170</v>
      </c>
      <c r="F73" s="11">
        <v>170</v>
      </c>
      <c r="G73" s="7" t="s">
        <v>308</v>
      </c>
      <c r="H73" s="7" t="s">
        <v>336</v>
      </c>
      <c r="I73" s="9"/>
    </row>
    <row r="74" spans="1:9" ht="117" customHeight="1">
      <c r="A74" s="7" t="s">
        <v>337</v>
      </c>
      <c r="B74" s="7" t="s">
        <v>338</v>
      </c>
      <c r="C74" s="7" t="s">
        <v>339</v>
      </c>
      <c r="D74" s="7" t="s">
        <v>340</v>
      </c>
      <c r="E74" s="11">
        <v>18</v>
      </c>
      <c r="F74" s="11">
        <v>19</v>
      </c>
      <c r="G74" s="7" t="s">
        <v>136</v>
      </c>
      <c r="H74" s="7" t="s">
        <v>341</v>
      </c>
      <c r="I74" s="9"/>
    </row>
    <row r="75" spans="1:9" ht="72" customHeight="1">
      <c r="A75" s="7" t="s">
        <v>342</v>
      </c>
      <c r="B75" s="7" t="s">
        <v>338</v>
      </c>
      <c r="C75" s="7" t="s">
        <v>339</v>
      </c>
      <c r="D75" s="7" t="s">
        <v>343</v>
      </c>
      <c r="E75" s="11">
        <v>20</v>
      </c>
      <c r="F75" s="11">
        <v>21</v>
      </c>
      <c r="G75" s="7" t="s">
        <v>136</v>
      </c>
      <c r="H75" s="7" t="s">
        <v>344</v>
      </c>
      <c r="I75" s="9"/>
    </row>
    <row r="76" spans="1:9" ht="57" customHeight="1">
      <c r="A76" s="7" t="s">
        <v>345</v>
      </c>
      <c r="B76" s="7" t="s">
        <v>338</v>
      </c>
      <c r="C76" s="7" t="s">
        <v>339</v>
      </c>
      <c r="D76" s="7" t="s">
        <v>346</v>
      </c>
      <c r="E76" s="11">
        <v>22</v>
      </c>
      <c r="F76" s="11">
        <v>23</v>
      </c>
      <c r="G76" s="7" t="s">
        <v>136</v>
      </c>
      <c r="H76" s="7" t="s">
        <v>347</v>
      </c>
      <c r="I76" s="9"/>
    </row>
    <row r="77" spans="1:9" ht="42" customHeight="1">
      <c r="A77" s="7" t="s">
        <v>348</v>
      </c>
      <c r="B77" s="7" t="s">
        <v>338</v>
      </c>
      <c r="C77" s="7" t="s">
        <v>339</v>
      </c>
      <c r="D77" s="7" t="s">
        <v>349</v>
      </c>
      <c r="E77" s="11">
        <v>24</v>
      </c>
      <c r="F77" s="11">
        <v>25</v>
      </c>
      <c r="G77" s="7" t="s">
        <v>136</v>
      </c>
      <c r="H77" s="7" t="s">
        <v>350</v>
      </c>
      <c r="I77" s="9"/>
    </row>
    <row r="78" spans="1:9" ht="42" customHeight="1">
      <c r="A78" s="7" t="s">
        <v>351</v>
      </c>
      <c r="B78" s="7" t="s">
        <v>338</v>
      </c>
      <c r="C78" s="7" t="s">
        <v>339</v>
      </c>
      <c r="D78" s="7" t="s">
        <v>352</v>
      </c>
      <c r="E78" s="11">
        <v>26</v>
      </c>
      <c r="F78" s="11">
        <v>27</v>
      </c>
      <c r="G78" s="7" t="s">
        <v>136</v>
      </c>
      <c r="H78" s="7" t="s">
        <v>353</v>
      </c>
      <c r="I78" s="9"/>
    </row>
    <row r="79" spans="1:9" ht="42" customHeight="1">
      <c r="A79" s="7" t="s">
        <v>354</v>
      </c>
      <c r="B79" s="7" t="s">
        <v>338</v>
      </c>
      <c r="C79" s="7" t="s">
        <v>339</v>
      </c>
      <c r="D79" s="7" t="s">
        <v>355</v>
      </c>
      <c r="E79" s="11">
        <v>28</v>
      </c>
      <c r="F79" s="11">
        <v>29</v>
      </c>
      <c r="G79" s="7" t="s">
        <v>136</v>
      </c>
      <c r="H79" s="7" t="s">
        <v>356</v>
      </c>
      <c r="I79" s="9"/>
    </row>
    <row r="80" spans="1:9" ht="42" customHeight="1">
      <c r="A80" s="7" t="s">
        <v>357</v>
      </c>
      <c r="B80" s="7" t="s">
        <v>338</v>
      </c>
      <c r="C80" s="7" t="s">
        <v>339</v>
      </c>
      <c r="D80" s="7" t="s">
        <v>358</v>
      </c>
      <c r="E80" s="11">
        <v>30</v>
      </c>
      <c r="F80" s="11">
        <v>31</v>
      </c>
      <c r="G80" s="7" t="s">
        <v>136</v>
      </c>
      <c r="H80" s="7" t="s">
        <v>359</v>
      </c>
      <c r="I80" s="9"/>
    </row>
    <row r="81" spans="1:9" ht="72" customHeight="1">
      <c r="A81" s="7" t="s">
        <v>360</v>
      </c>
      <c r="B81" s="7" t="s">
        <v>338</v>
      </c>
      <c r="C81" s="7" t="s">
        <v>339</v>
      </c>
      <c r="D81" s="7" t="s">
        <v>361</v>
      </c>
      <c r="E81" s="11">
        <v>32</v>
      </c>
      <c r="F81" s="11">
        <v>33</v>
      </c>
      <c r="G81" s="7" t="s">
        <v>136</v>
      </c>
      <c r="H81" s="7" t="s">
        <v>362</v>
      </c>
      <c r="I81" s="9"/>
    </row>
    <row r="82" spans="1:9" ht="132" customHeight="1">
      <c r="A82" s="7" t="s">
        <v>363</v>
      </c>
      <c r="B82" s="7" t="s">
        <v>338</v>
      </c>
      <c r="C82" s="7" t="s">
        <v>364</v>
      </c>
      <c r="D82" s="7" t="s">
        <v>365</v>
      </c>
      <c r="E82" s="11">
        <v>36</v>
      </c>
      <c r="F82" s="11">
        <v>51</v>
      </c>
      <c r="G82" s="7" t="s">
        <v>136</v>
      </c>
      <c r="H82" s="7" t="s">
        <v>366</v>
      </c>
      <c r="I82" s="9"/>
    </row>
    <row r="83" spans="1:9" ht="132" customHeight="1">
      <c r="A83" s="7" t="s">
        <v>367</v>
      </c>
      <c r="B83" s="7" t="s">
        <v>338</v>
      </c>
      <c r="C83" s="7" t="s">
        <v>368</v>
      </c>
      <c r="D83" s="7" t="s">
        <v>369</v>
      </c>
      <c r="E83" s="11">
        <v>56</v>
      </c>
      <c r="F83" s="11">
        <v>57</v>
      </c>
      <c r="G83" s="7" t="s">
        <v>136</v>
      </c>
      <c r="H83" s="7" t="s">
        <v>370</v>
      </c>
      <c r="I83" s="9"/>
    </row>
    <row r="84" spans="1:9" ht="42" customHeight="1">
      <c r="A84" s="7" t="s">
        <v>371</v>
      </c>
      <c r="B84" s="7" t="s">
        <v>338</v>
      </c>
      <c r="C84" s="7" t="s">
        <v>368</v>
      </c>
      <c r="D84" s="7" t="s">
        <v>372</v>
      </c>
      <c r="E84" s="11">
        <v>58</v>
      </c>
      <c r="F84" s="11">
        <v>60</v>
      </c>
      <c r="G84" s="7" t="s">
        <v>136</v>
      </c>
      <c r="H84" s="7" t="s">
        <v>373</v>
      </c>
      <c r="I84" s="9"/>
    </row>
    <row r="85" spans="1:9" ht="57" customHeight="1">
      <c r="A85" s="7" t="s">
        <v>374</v>
      </c>
      <c r="B85" s="7" t="s">
        <v>338</v>
      </c>
      <c r="C85" s="7" t="s">
        <v>368</v>
      </c>
      <c r="D85" s="7" t="s">
        <v>375</v>
      </c>
      <c r="E85" s="11">
        <v>61</v>
      </c>
      <c r="F85" s="11">
        <v>63</v>
      </c>
      <c r="G85" s="7" t="s">
        <v>136</v>
      </c>
      <c r="H85" s="7" t="s">
        <v>376</v>
      </c>
      <c r="I85" s="9"/>
    </row>
    <row r="86" spans="1:9" ht="132" customHeight="1">
      <c r="A86" s="7" t="s">
        <v>377</v>
      </c>
      <c r="B86" s="7" t="s">
        <v>338</v>
      </c>
      <c r="C86" s="7" t="s">
        <v>378</v>
      </c>
      <c r="D86" s="7" t="s">
        <v>379</v>
      </c>
      <c r="E86" s="11">
        <v>68</v>
      </c>
      <c r="F86" s="11">
        <v>69</v>
      </c>
      <c r="G86" s="7" t="s">
        <v>136</v>
      </c>
      <c r="H86" s="7" t="s">
        <v>380</v>
      </c>
      <c r="I86" s="9"/>
    </row>
    <row r="87" spans="1:9" ht="132" customHeight="1">
      <c r="A87" s="7" t="s">
        <v>381</v>
      </c>
      <c r="B87" s="7" t="s">
        <v>338</v>
      </c>
      <c r="C87" s="7" t="s">
        <v>378</v>
      </c>
      <c r="D87" s="7" t="s">
        <v>382</v>
      </c>
      <c r="E87" s="11">
        <v>70</v>
      </c>
      <c r="F87" s="11">
        <v>70</v>
      </c>
      <c r="G87" s="7" t="s">
        <v>136</v>
      </c>
      <c r="H87" s="7" t="s">
        <v>383</v>
      </c>
      <c r="I87" s="9"/>
    </row>
    <row r="88" spans="1:9" ht="87" customHeight="1">
      <c r="A88" s="7" t="s">
        <v>384</v>
      </c>
      <c r="B88" s="7" t="s">
        <v>338</v>
      </c>
      <c r="C88" s="7" t="s">
        <v>378</v>
      </c>
      <c r="D88" s="7" t="s">
        <v>385</v>
      </c>
      <c r="E88" s="11">
        <v>71</v>
      </c>
      <c r="F88" s="11">
        <v>71</v>
      </c>
      <c r="G88" s="7" t="s">
        <v>136</v>
      </c>
      <c r="H88" s="7" t="s">
        <v>386</v>
      </c>
      <c r="I88" s="9"/>
    </row>
    <row r="89" spans="1:9" ht="57" customHeight="1">
      <c r="A89" s="7" t="s">
        <v>387</v>
      </c>
      <c r="B89" s="7" t="s">
        <v>338</v>
      </c>
      <c r="C89" s="7" t="s">
        <v>378</v>
      </c>
      <c r="D89" s="7" t="s">
        <v>385</v>
      </c>
      <c r="E89" s="11">
        <v>72</v>
      </c>
      <c r="F89" s="11">
        <v>72</v>
      </c>
      <c r="G89" s="7" t="s">
        <v>136</v>
      </c>
      <c r="H89" s="7" t="s">
        <v>388</v>
      </c>
      <c r="I89" s="9"/>
    </row>
    <row r="90" spans="1:9" ht="42" customHeight="1">
      <c r="A90" s="7" t="s">
        <v>389</v>
      </c>
      <c r="B90" s="7" t="s">
        <v>338</v>
      </c>
      <c r="C90" s="7" t="s">
        <v>378</v>
      </c>
      <c r="D90" s="7" t="s">
        <v>390</v>
      </c>
      <c r="E90" s="11">
        <v>73</v>
      </c>
      <c r="F90" s="11">
        <v>73</v>
      </c>
      <c r="G90" s="7" t="s">
        <v>136</v>
      </c>
      <c r="H90" s="7" t="s">
        <v>391</v>
      </c>
      <c r="I90" s="9"/>
    </row>
    <row r="91" spans="1:9" ht="132" customHeight="1">
      <c r="A91" s="7" t="s">
        <v>392</v>
      </c>
      <c r="B91" s="7" t="s">
        <v>338</v>
      </c>
      <c r="C91" s="7" t="s">
        <v>393</v>
      </c>
      <c r="D91" s="7" t="s">
        <v>394</v>
      </c>
      <c r="E91" s="11">
        <v>77</v>
      </c>
      <c r="F91" s="11">
        <v>79</v>
      </c>
      <c r="G91" s="7" t="s">
        <v>136</v>
      </c>
      <c r="H91" s="7" t="s">
        <v>395</v>
      </c>
      <c r="I91" s="9"/>
    </row>
    <row r="92" spans="1:9" ht="57" customHeight="1">
      <c r="A92" s="7" t="s">
        <v>396</v>
      </c>
      <c r="B92" s="7" t="s">
        <v>338</v>
      </c>
      <c r="C92" s="7" t="s">
        <v>393</v>
      </c>
      <c r="D92" s="7" t="s">
        <v>397</v>
      </c>
      <c r="E92" s="11">
        <v>80</v>
      </c>
      <c r="F92" s="11">
        <v>82</v>
      </c>
      <c r="G92" s="7" t="s">
        <v>136</v>
      </c>
      <c r="H92" s="7" t="s">
        <v>398</v>
      </c>
      <c r="I92" s="9"/>
    </row>
    <row r="93" spans="1:9" ht="102" customHeight="1">
      <c r="A93" s="7" t="s">
        <v>399</v>
      </c>
      <c r="B93" s="7" t="s">
        <v>338</v>
      </c>
      <c r="C93" s="7" t="s">
        <v>393</v>
      </c>
      <c r="D93" s="7" t="s">
        <v>400</v>
      </c>
      <c r="E93" s="11">
        <v>83</v>
      </c>
      <c r="F93" s="11">
        <v>85</v>
      </c>
      <c r="G93" s="7" t="s">
        <v>136</v>
      </c>
      <c r="H93" s="7" t="s">
        <v>401</v>
      </c>
      <c r="I93" s="9"/>
    </row>
    <row r="94" spans="1:9" ht="87" customHeight="1">
      <c r="A94" s="7" t="s">
        <v>402</v>
      </c>
      <c r="B94" s="7" t="s">
        <v>338</v>
      </c>
      <c r="C94" s="7" t="s">
        <v>393</v>
      </c>
      <c r="D94" s="7" t="s">
        <v>403</v>
      </c>
      <c r="E94" s="11">
        <v>86</v>
      </c>
      <c r="F94" s="11">
        <v>88</v>
      </c>
      <c r="G94" s="7" t="s">
        <v>136</v>
      </c>
      <c r="H94" s="7" t="s">
        <v>404</v>
      </c>
      <c r="I94" s="9"/>
    </row>
    <row r="95" spans="1:9" ht="87" customHeight="1">
      <c r="A95" s="7" t="s">
        <v>405</v>
      </c>
      <c r="B95" s="7" t="s">
        <v>338</v>
      </c>
      <c r="C95" s="7" t="s">
        <v>393</v>
      </c>
      <c r="D95" s="7" t="s">
        <v>406</v>
      </c>
      <c r="E95" s="11">
        <v>89</v>
      </c>
      <c r="F95" s="11">
        <v>91</v>
      </c>
      <c r="G95" s="7" t="s">
        <v>136</v>
      </c>
      <c r="H95" s="7" t="s">
        <v>407</v>
      </c>
      <c r="I95" s="9"/>
    </row>
    <row r="96" spans="1:9" ht="87" customHeight="1">
      <c r="A96" s="7" t="s">
        <v>408</v>
      </c>
      <c r="B96" s="7" t="s">
        <v>338</v>
      </c>
      <c r="C96" s="7" t="s">
        <v>393</v>
      </c>
      <c r="D96" s="7" t="s">
        <v>409</v>
      </c>
      <c r="E96" s="11">
        <v>92</v>
      </c>
      <c r="F96" s="11">
        <v>92</v>
      </c>
      <c r="G96" s="7" t="s">
        <v>136</v>
      </c>
      <c r="H96" s="7" t="s">
        <v>410</v>
      </c>
      <c r="I96" s="9"/>
    </row>
    <row r="97" spans="1:9" ht="117" customHeight="1">
      <c r="A97" s="7" t="s">
        <v>411</v>
      </c>
      <c r="B97" s="7" t="s">
        <v>338</v>
      </c>
      <c r="C97" s="7" t="s">
        <v>393</v>
      </c>
      <c r="D97" s="7" t="s">
        <v>412</v>
      </c>
      <c r="E97" s="11">
        <v>93</v>
      </c>
      <c r="F97" s="11">
        <v>93</v>
      </c>
      <c r="G97" s="7" t="s">
        <v>136</v>
      </c>
      <c r="H97" s="7" t="s">
        <v>413</v>
      </c>
      <c r="I97" s="9"/>
    </row>
    <row r="98" spans="1:9" ht="72" customHeight="1">
      <c r="A98" s="7" t="s">
        <v>414</v>
      </c>
      <c r="B98" s="7" t="s">
        <v>338</v>
      </c>
      <c r="C98" s="7" t="s">
        <v>393</v>
      </c>
      <c r="D98" s="7" t="s">
        <v>415</v>
      </c>
      <c r="E98" s="11">
        <v>94</v>
      </c>
      <c r="F98" s="11">
        <v>94</v>
      </c>
      <c r="G98" s="7" t="s">
        <v>136</v>
      </c>
      <c r="H98" s="7" t="s">
        <v>416</v>
      </c>
      <c r="I98" s="9"/>
    </row>
    <row r="99" spans="1:9" ht="72" customHeight="1">
      <c r="A99" s="7" t="s">
        <v>417</v>
      </c>
      <c r="B99" s="7" t="s">
        <v>338</v>
      </c>
      <c r="C99" s="7" t="s">
        <v>393</v>
      </c>
      <c r="D99" s="7" t="s">
        <v>418</v>
      </c>
      <c r="E99" s="11">
        <v>95</v>
      </c>
      <c r="F99" s="11">
        <v>95</v>
      </c>
      <c r="G99" s="7" t="s">
        <v>136</v>
      </c>
      <c r="H99" s="7" t="s">
        <v>419</v>
      </c>
      <c r="I99" s="9"/>
    </row>
    <row r="100" spans="1:9" ht="57" customHeight="1">
      <c r="A100" s="7" t="s">
        <v>420</v>
      </c>
      <c r="B100" s="7" t="s">
        <v>338</v>
      </c>
      <c r="C100" s="7" t="s">
        <v>393</v>
      </c>
      <c r="D100" s="7" t="s">
        <v>421</v>
      </c>
      <c r="E100" s="11">
        <v>96</v>
      </c>
      <c r="F100" s="11">
        <v>96</v>
      </c>
      <c r="G100" s="7" t="s">
        <v>136</v>
      </c>
      <c r="H100" s="7" t="s">
        <v>422</v>
      </c>
      <c r="I100" s="9"/>
    </row>
    <row r="101" spans="1:9" ht="72" customHeight="1">
      <c r="A101" s="7" t="s">
        <v>423</v>
      </c>
      <c r="B101" s="7" t="s">
        <v>338</v>
      </c>
      <c r="C101" s="7" t="s">
        <v>393</v>
      </c>
      <c r="D101" s="7" t="s">
        <v>424</v>
      </c>
      <c r="E101" s="11">
        <v>97</v>
      </c>
      <c r="F101" s="11">
        <v>97</v>
      </c>
      <c r="G101" s="7" t="s">
        <v>136</v>
      </c>
      <c r="H101" s="7" t="s">
        <v>425</v>
      </c>
      <c r="I101" s="9"/>
    </row>
    <row r="102" spans="1:9" ht="42" customHeight="1">
      <c r="A102" s="7" t="s">
        <v>426</v>
      </c>
      <c r="B102" s="7" t="s">
        <v>338</v>
      </c>
      <c r="C102" s="7" t="s">
        <v>393</v>
      </c>
      <c r="D102" s="7" t="s">
        <v>427</v>
      </c>
      <c r="E102" s="11">
        <v>98</v>
      </c>
      <c r="F102" s="11">
        <v>98</v>
      </c>
      <c r="G102" s="7" t="s">
        <v>136</v>
      </c>
      <c r="H102" s="7" t="s">
        <v>428</v>
      </c>
      <c r="I102" s="9"/>
    </row>
    <row r="103" spans="1:9" ht="57" customHeight="1">
      <c r="A103" s="7" t="s">
        <v>429</v>
      </c>
      <c r="B103" s="7" t="s">
        <v>338</v>
      </c>
      <c r="C103" s="7" t="s">
        <v>393</v>
      </c>
      <c r="D103" s="7" t="s">
        <v>430</v>
      </c>
      <c r="E103" s="11">
        <v>99</v>
      </c>
      <c r="F103" s="11">
        <v>99</v>
      </c>
      <c r="G103" s="7" t="s">
        <v>136</v>
      </c>
      <c r="H103" s="7" t="s">
        <v>431</v>
      </c>
      <c r="I103" s="9"/>
    </row>
    <row r="104" spans="1:9" ht="87" customHeight="1">
      <c r="A104" s="7" t="s">
        <v>432</v>
      </c>
      <c r="B104" s="7" t="s">
        <v>338</v>
      </c>
      <c r="C104" s="7" t="s">
        <v>393</v>
      </c>
      <c r="D104" s="7" t="s">
        <v>433</v>
      </c>
      <c r="E104" s="11">
        <v>100</v>
      </c>
      <c r="F104" s="11">
        <v>100</v>
      </c>
      <c r="G104" s="7" t="s">
        <v>136</v>
      </c>
      <c r="H104" s="7" t="s">
        <v>434</v>
      </c>
      <c r="I104" s="9"/>
    </row>
    <row r="105" spans="1:9" ht="87" customHeight="1">
      <c r="A105" s="7" t="s">
        <v>435</v>
      </c>
      <c r="B105" s="7" t="s">
        <v>338</v>
      </c>
      <c r="C105" s="7" t="s">
        <v>393</v>
      </c>
      <c r="D105" s="7" t="s">
        <v>436</v>
      </c>
      <c r="E105" s="11">
        <v>101</v>
      </c>
      <c r="F105" s="11">
        <v>101</v>
      </c>
      <c r="G105" s="7" t="s">
        <v>136</v>
      </c>
      <c r="H105" s="7" t="s">
        <v>437</v>
      </c>
      <c r="I105" s="9"/>
    </row>
    <row r="106" spans="1:9" ht="42" customHeight="1">
      <c r="A106" s="7" t="s">
        <v>438</v>
      </c>
      <c r="B106" s="7" t="s">
        <v>338</v>
      </c>
      <c r="C106" s="7" t="s">
        <v>393</v>
      </c>
      <c r="D106" s="7" t="s">
        <v>439</v>
      </c>
      <c r="E106" s="11">
        <v>102</v>
      </c>
      <c r="F106" s="11">
        <v>102</v>
      </c>
      <c r="G106" s="7" t="s">
        <v>136</v>
      </c>
      <c r="H106" s="7" t="s">
        <v>440</v>
      </c>
      <c r="I106" s="9"/>
    </row>
    <row r="107" spans="1:9" ht="57" customHeight="1">
      <c r="A107" s="7" t="s">
        <v>441</v>
      </c>
      <c r="B107" s="7" t="s">
        <v>338</v>
      </c>
      <c r="C107" s="7" t="s">
        <v>393</v>
      </c>
      <c r="D107" s="7" t="s">
        <v>442</v>
      </c>
      <c r="E107" s="11">
        <v>103</v>
      </c>
      <c r="F107" s="11">
        <v>103</v>
      </c>
      <c r="G107" s="7" t="s">
        <v>136</v>
      </c>
      <c r="H107" s="7" t="s">
        <v>443</v>
      </c>
      <c r="I107" s="9"/>
    </row>
    <row r="108" spans="1:9" ht="132" customHeight="1">
      <c r="A108" s="7" t="s">
        <v>444</v>
      </c>
      <c r="B108" s="7" t="s">
        <v>338</v>
      </c>
      <c r="C108" s="7" t="s">
        <v>393</v>
      </c>
      <c r="D108" s="7" t="s">
        <v>445</v>
      </c>
      <c r="E108" s="11">
        <v>104</v>
      </c>
      <c r="F108" s="11">
        <v>104</v>
      </c>
      <c r="G108" s="7" t="s">
        <v>136</v>
      </c>
      <c r="H108" s="7" t="s">
        <v>446</v>
      </c>
      <c r="I108" s="9"/>
    </row>
    <row r="109" spans="1:9" ht="57" customHeight="1">
      <c r="A109" s="7" t="s">
        <v>447</v>
      </c>
      <c r="B109" s="7" t="s">
        <v>338</v>
      </c>
      <c r="C109" s="7" t="s">
        <v>393</v>
      </c>
      <c r="D109" s="7" t="s">
        <v>220</v>
      </c>
      <c r="E109" s="11">
        <v>105</v>
      </c>
      <c r="F109" s="11">
        <v>105</v>
      </c>
      <c r="G109" s="7" t="s">
        <v>136</v>
      </c>
      <c r="H109" s="7" t="s">
        <v>448</v>
      </c>
      <c r="I109" s="9"/>
    </row>
    <row r="110" spans="1:9" ht="102" customHeight="1">
      <c r="A110" s="7" t="s">
        <v>449</v>
      </c>
      <c r="B110" s="7" t="s">
        <v>338</v>
      </c>
      <c r="C110" s="7" t="s">
        <v>450</v>
      </c>
      <c r="D110" s="7" t="s">
        <v>451</v>
      </c>
      <c r="E110" s="11">
        <v>109</v>
      </c>
      <c r="F110" s="11">
        <v>109</v>
      </c>
      <c r="G110" s="7" t="s">
        <v>136</v>
      </c>
      <c r="H110" s="7" t="s">
        <v>452</v>
      </c>
      <c r="I110" s="9"/>
    </row>
    <row r="111" spans="1:9" ht="42" customHeight="1">
      <c r="A111" s="7" t="s">
        <v>453</v>
      </c>
      <c r="B111" s="7" t="s">
        <v>338</v>
      </c>
      <c r="C111" s="7" t="s">
        <v>450</v>
      </c>
      <c r="D111" s="7" t="s">
        <v>454</v>
      </c>
      <c r="E111" s="11">
        <v>110</v>
      </c>
      <c r="F111" s="11">
        <v>111</v>
      </c>
      <c r="G111" s="7" t="s">
        <v>136</v>
      </c>
      <c r="H111" s="7" t="s">
        <v>455</v>
      </c>
      <c r="I111" s="9"/>
    </row>
    <row r="112" spans="1:9" ht="72" customHeight="1">
      <c r="A112" s="7" t="s">
        <v>456</v>
      </c>
      <c r="B112" s="7" t="s">
        <v>338</v>
      </c>
      <c r="C112" s="7" t="s">
        <v>450</v>
      </c>
      <c r="D112" s="7" t="s">
        <v>457</v>
      </c>
      <c r="E112" s="11">
        <v>112</v>
      </c>
      <c r="F112" s="11">
        <v>112</v>
      </c>
      <c r="G112" s="7" t="s">
        <v>136</v>
      </c>
      <c r="H112" s="7" t="s">
        <v>458</v>
      </c>
      <c r="I112" s="9"/>
    </row>
    <row r="113" spans="1:9" ht="57" customHeight="1">
      <c r="A113" s="7" t="s">
        <v>459</v>
      </c>
      <c r="B113" s="7" t="s">
        <v>338</v>
      </c>
      <c r="C113" s="7" t="s">
        <v>450</v>
      </c>
      <c r="D113" s="7" t="s">
        <v>460</v>
      </c>
      <c r="E113" s="11">
        <v>113</v>
      </c>
      <c r="F113" s="11">
        <v>115</v>
      </c>
      <c r="G113" s="7" t="s">
        <v>136</v>
      </c>
      <c r="H113" s="7" t="s">
        <v>461</v>
      </c>
      <c r="I113" s="9"/>
    </row>
    <row r="114" spans="1:9" ht="42" customHeight="1">
      <c r="A114" s="7" t="s">
        <v>462</v>
      </c>
      <c r="B114" s="7" t="s">
        <v>338</v>
      </c>
      <c r="C114" s="7" t="s">
        <v>450</v>
      </c>
      <c r="D114" s="7" t="s">
        <v>463</v>
      </c>
      <c r="E114" s="11">
        <v>116</v>
      </c>
      <c r="F114" s="11">
        <v>117</v>
      </c>
      <c r="G114" s="7" t="s">
        <v>136</v>
      </c>
      <c r="H114" s="7" t="s">
        <v>464</v>
      </c>
      <c r="I114" s="9"/>
    </row>
    <row r="115" spans="1:9" ht="72" customHeight="1">
      <c r="A115" s="7" t="s">
        <v>465</v>
      </c>
      <c r="B115" s="7" t="s">
        <v>338</v>
      </c>
      <c r="C115" s="7" t="s">
        <v>466</v>
      </c>
      <c r="D115" s="7" t="s">
        <v>467</v>
      </c>
      <c r="E115" s="11">
        <v>121</v>
      </c>
      <c r="F115" s="11">
        <v>121</v>
      </c>
      <c r="G115" s="7" t="s">
        <v>136</v>
      </c>
      <c r="H115" s="7" t="s">
        <v>468</v>
      </c>
      <c r="I115" s="9"/>
    </row>
    <row r="116" spans="1:9" ht="72" customHeight="1">
      <c r="A116" s="7" t="s">
        <v>469</v>
      </c>
      <c r="B116" s="7" t="s">
        <v>338</v>
      </c>
      <c r="C116" s="7" t="s">
        <v>466</v>
      </c>
      <c r="D116" s="7" t="s">
        <v>470</v>
      </c>
      <c r="E116" s="11">
        <v>122</v>
      </c>
      <c r="F116" s="11">
        <v>122</v>
      </c>
      <c r="G116" s="7" t="s">
        <v>136</v>
      </c>
      <c r="H116" s="7" t="s">
        <v>471</v>
      </c>
      <c r="I116" s="9"/>
    </row>
    <row r="117" spans="1:9" ht="132" customHeight="1">
      <c r="A117" s="7" t="s">
        <v>472</v>
      </c>
      <c r="B117" s="7" t="s">
        <v>338</v>
      </c>
      <c r="C117" s="7" t="s">
        <v>473</v>
      </c>
      <c r="D117" s="7" t="s">
        <v>474</v>
      </c>
      <c r="E117" s="11">
        <v>125</v>
      </c>
      <c r="F117" s="11">
        <v>125</v>
      </c>
      <c r="G117" s="7" t="s">
        <v>136</v>
      </c>
      <c r="H117" s="7" t="s">
        <v>475</v>
      </c>
      <c r="I117" s="9"/>
    </row>
    <row r="118" spans="1:9" ht="42" customHeight="1">
      <c r="A118" s="7" t="s">
        <v>476</v>
      </c>
      <c r="B118" s="7" t="s">
        <v>338</v>
      </c>
      <c r="C118" s="7" t="s">
        <v>473</v>
      </c>
      <c r="D118" s="7" t="s">
        <v>477</v>
      </c>
      <c r="E118" s="11">
        <v>126</v>
      </c>
      <c r="F118" s="11">
        <v>128</v>
      </c>
      <c r="G118" s="7" t="s">
        <v>136</v>
      </c>
      <c r="H118" s="7" t="s">
        <v>478</v>
      </c>
      <c r="I118" s="9"/>
    </row>
    <row r="119" spans="1:9" ht="132" customHeight="1">
      <c r="A119" s="7" t="s">
        <v>479</v>
      </c>
      <c r="B119" s="7" t="s">
        <v>338</v>
      </c>
      <c r="C119" s="7" t="s">
        <v>473</v>
      </c>
      <c r="D119" s="7" t="s">
        <v>480</v>
      </c>
      <c r="E119" s="11">
        <v>129</v>
      </c>
      <c r="F119" s="11">
        <v>131</v>
      </c>
      <c r="G119" s="7" t="s">
        <v>136</v>
      </c>
      <c r="H119" s="7" t="s">
        <v>481</v>
      </c>
      <c r="I119" s="9"/>
    </row>
    <row r="120" spans="1:9" ht="102" customHeight="1">
      <c r="A120" s="7" t="s">
        <v>482</v>
      </c>
      <c r="B120" s="7" t="s">
        <v>338</v>
      </c>
      <c r="C120" s="7" t="s">
        <v>473</v>
      </c>
      <c r="D120" s="7" t="s">
        <v>483</v>
      </c>
      <c r="E120" s="11">
        <v>132</v>
      </c>
      <c r="F120" s="11">
        <v>132</v>
      </c>
      <c r="G120" s="7" t="s">
        <v>136</v>
      </c>
      <c r="H120" s="7" t="s">
        <v>484</v>
      </c>
      <c r="I120" s="9"/>
    </row>
    <row r="121" spans="1:9" ht="87" customHeight="1">
      <c r="A121" s="7" t="s">
        <v>485</v>
      </c>
      <c r="B121" s="7" t="s">
        <v>338</v>
      </c>
      <c r="C121" s="7" t="s">
        <v>473</v>
      </c>
      <c r="D121" s="7" t="s">
        <v>486</v>
      </c>
      <c r="E121" s="11">
        <v>133</v>
      </c>
      <c r="F121" s="11">
        <v>135</v>
      </c>
      <c r="G121" s="7" t="s">
        <v>136</v>
      </c>
      <c r="H121" s="7" t="s">
        <v>487</v>
      </c>
      <c r="I121" s="9"/>
    </row>
    <row r="122" spans="1:9" ht="87" customHeight="1">
      <c r="A122" s="7" t="s">
        <v>488</v>
      </c>
      <c r="B122" s="7" t="s">
        <v>338</v>
      </c>
      <c r="C122" s="7" t="s">
        <v>473</v>
      </c>
      <c r="D122" s="7" t="s">
        <v>489</v>
      </c>
      <c r="E122" s="11">
        <v>136</v>
      </c>
      <c r="F122" s="11">
        <v>138</v>
      </c>
      <c r="G122" s="7" t="s">
        <v>136</v>
      </c>
      <c r="H122" s="7" t="s">
        <v>490</v>
      </c>
      <c r="I122" s="9"/>
    </row>
    <row r="123" spans="1:9" ht="57" customHeight="1">
      <c r="A123" s="7" t="s">
        <v>491</v>
      </c>
      <c r="B123" s="7" t="s">
        <v>338</v>
      </c>
      <c r="C123" s="7" t="s">
        <v>473</v>
      </c>
      <c r="D123" s="7" t="s">
        <v>492</v>
      </c>
      <c r="E123" s="11">
        <v>139</v>
      </c>
      <c r="F123" s="11">
        <v>140</v>
      </c>
      <c r="G123" s="7" t="s">
        <v>136</v>
      </c>
      <c r="H123" s="7" t="s">
        <v>493</v>
      </c>
      <c r="I123" s="9"/>
    </row>
    <row r="124" spans="1:9" ht="42" customHeight="1">
      <c r="A124" s="7" t="s">
        <v>494</v>
      </c>
      <c r="B124" s="7" t="s">
        <v>338</v>
      </c>
      <c r="C124" s="7" t="s">
        <v>473</v>
      </c>
      <c r="D124" s="7" t="s">
        <v>495</v>
      </c>
      <c r="E124" s="11">
        <v>141</v>
      </c>
      <c r="F124" s="11">
        <v>142</v>
      </c>
      <c r="G124" s="7" t="s">
        <v>136</v>
      </c>
      <c r="H124" s="7" t="s">
        <v>496</v>
      </c>
      <c r="I124" s="9"/>
    </row>
    <row r="125" spans="1:9" ht="72" customHeight="1">
      <c r="A125" s="7" t="s">
        <v>497</v>
      </c>
      <c r="B125" s="7" t="s">
        <v>338</v>
      </c>
      <c r="C125" s="7" t="s">
        <v>473</v>
      </c>
      <c r="D125" s="7" t="s">
        <v>498</v>
      </c>
      <c r="E125" s="11">
        <v>143</v>
      </c>
      <c r="F125" s="11">
        <v>144</v>
      </c>
      <c r="G125" s="7" t="s">
        <v>136</v>
      </c>
      <c r="H125" s="7" t="s">
        <v>499</v>
      </c>
      <c r="I125" s="9"/>
    </row>
    <row r="126" spans="1:9" ht="57" customHeight="1">
      <c r="A126" s="7" t="s">
        <v>500</v>
      </c>
      <c r="B126" s="7" t="s">
        <v>338</v>
      </c>
      <c r="C126" s="7" t="s">
        <v>473</v>
      </c>
      <c r="D126" s="7" t="s">
        <v>501</v>
      </c>
      <c r="E126" s="11">
        <v>145</v>
      </c>
      <c r="F126" s="11">
        <v>146</v>
      </c>
      <c r="G126" s="7" t="s">
        <v>136</v>
      </c>
      <c r="H126" s="7" t="s">
        <v>502</v>
      </c>
      <c r="I126" s="9"/>
    </row>
    <row r="127" spans="1:9" ht="42" customHeight="1">
      <c r="A127" s="7" t="s">
        <v>503</v>
      </c>
      <c r="B127" s="7" t="s">
        <v>338</v>
      </c>
      <c r="C127" s="7" t="s">
        <v>473</v>
      </c>
      <c r="D127" s="7" t="s">
        <v>504</v>
      </c>
      <c r="E127" s="11">
        <v>147</v>
      </c>
      <c r="F127" s="11">
        <v>147</v>
      </c>
      <c r="G127" s="7" t="s">
        <v>136</v>
      </c>
      <c r="H127" s="7" t="s">
        <v>505</v>
      </c>
      <c r="I127" s="9"/>
    </row>
    <row r="128" spans="1:9" ht="72" customHeight="1">
      <c r="A128" s="7" t="s">
        <v>506</v>
      </c>
      <c r="B128" s="7" t="s">
        <v>338</v>
      </c>
      <c r="C128" s="7" t="s">
        <v>473</v>
      </c>
      <c r="D128" s="7" t="s">
        <v>507</v>
      </c>
      <c r="E128" s="11">
        <v>148</v>
      </c>
      <c r="F128" s="11">
        <v>148</v>
      </c>
      <c r="G128" s="7" t="s">
        <v>136</v>
      </c>
      <c r="H128" s="7" t="s">
        <v>508</v>
      </c>
      <c r="I128" s="9"/>
    </row>
    <row r="129" spans="1:9" ht="57" customHeight="1">
      <c r="A129" s="7" t="s">
        <v>509</v>
      </c>
      <c r="B129" s="7" t="s">
        <v>338</v>
      </c>
      <c r="C129" s="7" t="s">
        <v>473</v>
      </c>
      <c r="D129" s="7" t="s">
        <v>510</v>
      </c>
      <c r="E129" s="11">
        <v>149</v>
      </c>
      <c r="F129" s="11">
        <v>149</v>
      </c>
      <c r="G129" s="7" t="s">
        <v>136</v>
      </c>
      <c r="H129" s="7" t="s">
        <v>511</v>
      </c>
      <c r="I129" s="9"/>
    </row>
    <row r="130" spans="1:9" ht="72" customHeight="1">
      <c r="A130" s="7" t="s">
        <v>512</v>
      </c>
      <c r="B130" s="7" t="s">
        <v>338</v>
      </c>
      <c r="C130" s="7" t="s">
        <v>473</v>
      </c>
      <c r="D130" s="7" t="s">
        <v>513</v>
      </c>
      <c r="E130" s="11">
        <v>150</v>
      </c>
      <c r="F130" s="11">
        <v>150</v>
      </c>
      <c r="G130" s="7" t="s">
        <v>136</v>
      </c>
      <c r="H130" s="7" t="s">
        <v>514</v>
      </c>
      <c r="I130" s="9"/>
    </row>
    <row r="131" spans="1:9" ht="42" customHeight="1">
      <c r="A131" s="7" t="s">
        <v>515</v>
      </c>
      <c r="B131" s="7" t="s">
        <v>338</v>
      </c>
      <c r="C131" s="7" t="s">
        <v>473</v>
      </c>
      <c r="D131" s="7" t="s">
        <v>184</v>
      </c>
      <c r="E131" s="11">
        <v>151</v>
      </c>
      <c r="F131" s="11">
        <v>151</v>
      </c>
      <c r="G131" s="7" t="s">
        <v>136</v>
      </c>
      <c r="H131" s="7" t="s">
        <v>516</v>
      </c>
      <c r="I131" s="9"/>
    </row>
    <row r="132" spans="1:9" ht="57" customHeight="1">
      <c r="A132" s="7" t="s">
        <v>517</v>
      </c>
      <c r="B132" s="7" t="s">
        <v>338</v>
      </c>
      <c r="C132" s="7" t="s">
        <v>473</v>
      </c>
      <c r="D132" s="7" t="s">
        <v>181</v>
      </c>
      <c r="E132" s="11">
        <v>152</v>
      </c>
      <c r="F132" s="11">
        <v>152</v>
      </c>
      <c r="G132" s="7" t="s">
        <v>136</v>
      </c>
      <c r="H132" s="7" t="s">
        <v>518</v>
      </c>
      <c r="I132" s="9"/>
    </row>
    <row r="133" spans="1:9" ht="42" customHeight="1">
      <c r="A133" s="7" t="s">
        <v>519</v>
      </c>
      <c r="B133" s="7" t="s">
        <v>338</v>
      </c>
      <c r="C133" s="7" t="s">
        <v>473</v>
      </c>
      <c r="D133" s="7" t="s">
        <v>520</v>
      </c>
      <c r="E133" s="11">
        <v>153</v>
      </c>
      <c r="F133" s="11">
        <v>153</v>
      </c>
      <c r="G133" s="7" t="s">
        <v>136</v>
      </c>
      <c r="H133" s="7" t="s">
        <v>521</v>
      </c>
      <c r="I133" s="9"/>
    </row>
    <row r="134" spans="1:9" ht="42" customHeight="1">
      <c r="A134" s="7" t="s">
        <v>522</v>
      </c>
      <c r="B134" s="7" t="s">
        <v>338</v>
      </c>
      <c r="C134" s="7" t="s">
        <v>473</v>
      </c>
      <c r="D134" s="7" t="s">
        <v>523</v>
      </c>
      <c r="E134" s="11">
        <v>154</v>
      </c>
      <c r="F134" s="11">
        <v>154</v>
      </c>
      <c r="G134" s="7" t="s">
        <v>136</v>
      </c>
      <c r="H134" s="7" t="s">
        <v>524</v>
      </c>
      <c r="I134" s="9"/>
    </row>
    <row r="135" spans="1:9" ht="42" customHeight="1">
      <c r="A135" s="7" t="s">
        <v>525</v>
      </c>
      <c r="B135" s="7" t="s">
        <v>338</v>
      </c>
      <c r="C135" s="7" t="s">
        <v>473</v>
      </c>
      <c r="D135" s="7" t="s">
        <v>175</v>
      </c>
      <c r="E135" s="11">
        <v>155</v>
      </c>
      <c r="F135" s="11">
        <v>155</v>
      </c>
      <c r="G135" s="7" t="s">
        <v>136</v>
      </c>
      <c r="H135" s="7" t="s">
        <v>526</v>
      </c>
      <c r="I135" s="9"/>
    </row>
    <row r="136" spans="1:9" ht="42" customHeight="1">
      <c r="A136" s="7" t="s">
        <v>527</v>
      </c>
      <c r="B136" s="7" t="s">
        <v>338</v>
      </c>
      <c r="C136" s="7" t="s">
        <v>473</v>
      </c>
      <c r="D136" s="7" t="s">
        <v>178</v>
      </c>
      <c r="E136" s="11">
        <v>156</v>
      </c>
      <c r="F136" s="11">
        <v>156</v>
      </c>
      <c r="G136" s="7" t="s">
        <v>136</v>
      </c>
      <c r="H136" s="7" t="s">
        <v>528</v>
      </c>
      <c r="I136" s="9"/>
    </row>
    <row r="137" spans="1:9" ht="132" customHeight="1">
      <c r="A137" s="7" t="s">
        <v>529</v>
      </c>
      <c r="B137" s="7" t="s">
        <v>338</v>
      </c>
      <c r="C137" s="7" t="s">
        <v>530</v>
      </c>
      <c r="D137" s="7" t="s">
        <v>531</v>
      </c>
      <c r="E137" s="11">
        <v>161</v>
      </c>
      <c r="F137" s="11">
        <v>163</v>
      </c>
      <c r="G137" s="7" t="s">
        <v>136</v>
      </c>
      <c r="H137" s="7" t="s">
        <v>532</v>
      </c>
      <c r="I137" s="9"/>
    </row>
    <row r="138" spans="1:9" ht="132" customHeight="1">
      <c r="A138" s="7" t="s">
        <v>533</v>
      </c>
      <c r="B138" s="7" t="s">
        <v>338</v>
      </c>
      <c r="C138" s="7" t="s">
        <v>530</v>
      </c>
      <c r="D138" s="7" t="s">
        <v>534</v>
      </c>
      <c r="E138" s="11">
        <v>164</v>
      </c>
      <c r="F138" s="11">
        <v>165</v>
      </c>
      <c r="G138" s="7" t="s">
        <v>136</v>
      </c>
      <c r="H138" s="7" t="s">
        <v>535</v>
      </c>
      <c r="I138" s="9"/>
    </row>
    <row r="139" spans="1:9" ht="132" customHeight="1">
      <c r="A139" s="7" t="s">
        <v>536</v>
      </c>
      <c r="B139" s="7" t="s">
        <v>338</v>
      </c>
      <c r="C139" s="7" t="s">
        <v>530</v>
      </c>
      <c r="D139" s="7" t="s">
        <v>537</v>
      </c>
      <c r="E139" s="11">
        <v>166</v>
      </c>
      <c r="F139" s="11">
        <v>168</v>
      </c>
      <c r="G139" s="7" t="s">
        <v>136</v>
      </c>
      <c r="H139" s="7" t="s">
        <v>538</v>
      </c>
      <c r="I139" s="9"/>
    </row>
    <row r="140" spans="1:9" ht="102" customHeight="1">
      <c r="A140" s="7" t="s">
        <v>539</v>
      </c>
      <c r="B140" s="7" t="s">
        <v>338</v>
      </c>
      <c r="C140" s="7" t="s">
        <v>540</v>
      </c>
      <c r="D140" s="7" t="s">
        <v>541</v>
      </c>
      <c r="E140" s="11">
        <v>173</v>
      </c>
      <c r="F140" s="11">
        <v>175</v>
      </c>
      <c r="G140" s="7" t="s">
        <v>136</v>
      </c>
      <c r="H140" s="7" t="s">
        <v>542</v>
      </c>
      <c r="I140" s="9"/>
    </row>
    <row r="141" spans="1:9" ht="57" customHeight="1">
      <c r="A141" s="7" t="s">
        <v>543</v>
      </c>
      <c r="B141" s="7" t="s">
        <v>338</v>
      </c>
      <c r="C141" s="7" t="s">
        <v>544</v>
      </c>
      <c r="D141" s="7" t="s">
        <v>545</v>
      </c>
      <c r="E141" s="11">
        <v>180</v>
      </c>
      <c r="F141" s="11">
        <v>181</v>
      </c>
      <c r="G141" s="7" t="s">
        <v>136</v>
      </c>
      <c r="H141" s="7" t="s">
        <v>546</v>
      </c>
      <c r="I141" s="9"/>
    </row>
    <row r="142" spans="1:9" ht="87" customHeight="1">
      <c r="A142" s="7" t="s">
        <v>547</v>
      </c>
      <c r="B142" s="7" t="s">
        <v>338</v>
      </c>
      <c r="C142" s="7" t="s">
        <v>544</v>
      </c>
      <c r="D142" s="7" t="s">
        <v>548</v>
      </c>
      <c r="E142" s="11">
        <v>182</v>
      </c>
      <c r="F142" s="11">
        <v>183</v>
      </c>
      <c r="G142" s="7" t="s">
        <v>136</v>
      </c>
      <c r="H142" s="7" t="s">
        <v>549</v>
      </c>
      <c r="I142" s="9"/>
    </row>
    <row r="143" spans="1:9" ht="57" customHeight="1">
      <c r="A143" s="7" t="s">
        <v>550</v>
      </c>
      <c r="B143" s="7" t="s">
        <v>338</v>
      </c>
      <c r="C143" s="7" t="s">
        <v>544</v>
      </c>
      <c r="D143" s="7" t="s">
        <v>551</v>
      </c>
      <c r="E143" s="11">
        <v>184</v>
      </c>
      <c r="F143" s="11">
        <v>185</v>
      </c>
      <c r="G143" s="7" t="s">
        <v>136</v>
      </c>
      <c r="H143" s="7" t="s">
        <v>552</v>
      </c>
      <c r="I143" s="9"/>
    </row>
    <row r="144" spans="1:9" ht="132" customHeight="1">
      <c r="A144" s="7" t="s">
        <v>553</v>
      </c>
      <c r="B144" s="7" t="s">
        <v>338</v>
      </c>
      <c r="C144" s="7" t="s">
        <v>134</v>
      </c>
      <c r="D144" s="7" t="s">
        <v>554</v>
      </c>
      <c r="E144" s="11">
        <v>188</v>
      </c>
      <c r="F144" s="11">
        <v>188</v>
      </c>
      <c r="G144" s="7" t="s">
        <v>136</v>
      </c>
      <c r="H144" s="7" t="s">
        <v>555</v>
      </c>
      <c r="I144" s="9"/>
    </row>
    <row r="145" spans="1:9" ht="42" customHeight="1">
      <c r="A145" s="7" t="s">
        <v>556</v>
      </c>
      <c r="B145" s="7" t="s">
        <v>338</v>
      </c>
      <c r="C145" s="7" t="s">
        <v>134</v>
      </c>
      <c r="D145" s="7" t="s">
        <v>557</v>
      </c>
      <c r="E145" s="11">
        <v>189</v>
      </c>
      <c r="F145" s="11">
        <v>189</v>
      </c>
      <c r="G145" s="7" t="s">
        <v>136</v>
      </c>
      <c r="H145" s="7" t="s">
        <v>558</v>
      </c>
      <c r="I145" s="9"/>
    </row>
    <row r="146" spans="1:9" ht="57" customHeight="1">
      <c r="A146" s="7" t="s">
        <v>559</v>
      </c>
      <c r="B146" s="7" t="s">
        <v>338</v>
      </c>
      <c r="C146" s="7" t="s">
        <v>134</v>
      </c>
      <c r="D146" s="7" t="s">
        <v>560</v>
      </c>
      <c r="E146" s="11">
        <v>190</v>
      </c>
      <c r="F146" s="11">
        <v>190</v>
      </c>
      <c r="G146" s="7" t="s">
        <v>136</v>
      </c>
      <c r="H146" s="7" t="s">
        <v>561</v>
      </c>
      <c r="I146" s="9"/>
    </row>
    <row r="147" spans="1:9">
      <c r="A147" s="1"/>
      <c r="B147" s="1"/>
      <c r="C147" s="1"/>
      <c r="D147" s="1"/>
      <c r="E147" s="1"/>
      <c r="F147" s="1"/>
      <c r="G147" s="1"/>
      <c r="H147" s="1"/>
      <c r="I147" s="1"/>
    </row>
    <row r="148" spans="1:9">
      <c r="A148" s="1"/>
      <c r="B148" s="1"/>
      <c r="C148" s="1"/>
      <c r="D148" s="1"/>
      <c r="E148" s="1"/>
      <c r="F148" s="1"/>
      <c r="G148" s="1"/>
      <c r="H148" s="1"/>
      <c r="I148" s="1"/>
    </row>
    <row r="149" spans="1:9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33.950000000000003" customHeight="1">
      <c r="A150" s="6" t="s">
        <v>3</v>
      </c>
      <c r="B150" s="6" t="s">
        <v>562</v>
      </c>
      <c r="C150" s="6" t="s">
        <v>563</v>
      </c>
      <c r="D150" s="1"/>
      <c r="E150" s="1"/>
      <c r="F150" s="1"/>
      <c r="G150" s="1"/>
      <c r="H150" s="1"/>
      <c r="I150" s="1"/>
    </row>
    <row r="151" spans="1:9" ht="42" customHeight="1">
      <c r="A151" s="7" t="s">
        <v>564</v>
      </c>
      <c r="B151" s="7" t="s">
        <v>565</v>
      </c>
      <c r="C151" s="7" t="s">
        <v>566</v>
      </c>
      <c r="D151" s="1"/>
      <c r="E151" s="1"/>
      <c r="F151" s="1"/>
      <c r="G151" s="1"/>
      <c r="H151" s="1"/>
      <c r="I151" s="1"/>
    </row>
    <row r="152" spans="1:9" ht="72" customHeight="1">
      <c r="A152" s="7" t="s">
        <v>567</v>
      </c>
      <c r="B152" s="7" t="s">
        <v>565</v>
      </c>
      <c r="C152" s="7" t="s">
        <v>568</v>
      </c>
      <c r="D152" s="1"/>
      <c r="E152" s="1"/>
      <c r="F152" s="1"/>
      <c r="G152" s="1"/>
      <c r="H152" s="1"/>
      <c r="I152" s="1"/>
    </row>
    <row r="153" spans="1:9" ht="42" customHeight="1">
      <c r="A153" s="7" t="s">
        <v>569</v>
      </c>
      <c r="B153" s="7" t="s">
        <v>565</v>
      </c>
      <c r="C153" s="7" t="s">
        <v>570</v>
      </c>
      <c r="D153" s="1"/>
      <c r="E153" s="1"/>
      <c r="F153" s="1"/>
      <c r="G153" s="1"/>
      <c r="H153" s="1"/>
      <c r="I153" s="1"/>
    </row>
    <row r="154" spans="1:9" ht="42" customHeight="1">
      <c r="A154" s="7" t="s">
        <v>571</v>
      </c>
      <c r="B154" s="7" t="s">
        <v>572</v>
      </c>
      <c r="C154" s="7" t="s">
        <v>573</v>
      </c>
      <c r="D154" s="1"/>
      <c r="E154" s="1"/>
      <c r="F154" s="1"/>
      <c r="G154" s="1"/>
      <c r="H154" s="1"/>
      <c r="I154" s="1"/>
    </row>
    <row r="155" spans="1:9" ht="57" customHeight="1">
      <c r="A155" s="7" t="s">
        <v>574</v>
      </c>
      <c r="B155" s="7" t="s">
        <v>575</v>
      </c>
      <c r="C155" s="7" t="s">
        <v>576</v>
      </c>
      <c r="D155" s="1"/>
      <c r="E155" s="1"/>
      <c r="F155" s="1"/>
      <c r="G155" s="1"/>
      <c r="H155" s="1"/>
      <c r="I155" s="1"/>
    </row>
    <row r="156" spans="1:9" ht="57" customHeight="1">
      <c r="A156" s="7" t="s">
        <v>577</v>
      </c>
      <c r="B156" s="7" t="s">
        <v>565</v>
      </c>
      <c r="C156" s="7" t="s">
        <v>578</v>
      </c>
      <c r="D156" s="1"/>
      <c r="E156" s="1"/>
      <c r="F156" s="1"/>
      <c r="G156" s="1"/>
      <c r="H156" s="1"/>
      <c r="I156" s="1"/>
    </row>
    <row r="157" spans="1:9" ht="72" customHeight="1">
      <c r="A157" s="7" t="s">
        <v>1767</v>
      </c>
      <c r="B157" s="7" t="s">
        <v>1768</v>
      </c>
      <c r="C157" s="7" t="s">
        <v>1769</v>
      </c>
      <c r="D157" s="1"/>
      <c r="E157" s="1"/>
      <c r="F157" s="1"/>
      <c r="G157" s="1"/>
      <c r="H157" s="1"/>
      <c r="I157" s="1"/>
    </row>
    <row r="158" spans="1:9" ht="72" customHeight="1">
      <c r="A158" s="7" t="s">
        <v>1770</v>
      </c>
      <c r="B158" s="7" t="s">
        <v>1771</v>
      </c>
      <c r="C158" s="7" t="s">
        <v>1772</v>
      </c>
      <c r="D158" s="1"/>
      <c r="E158" s="1"/>
      <c r="F158" s="1"/>
      <c r="G158" s="1"/>
      <c r="H158" s="1"/>
      <c r="I158" s="1"/>
    </row>
    <row r="159" spans="1:9" ht="23.1" customHeight="1">
      <c r="A159" s="4" t="s">
        <v>579</v>
      </c>
      <c r="B159" s="1"/>
      <c r="C159" s="1"/>
      <c r="D159" s="1"/>
      <c r="E159" s="1"/>
      <c r="F159" s="1"/>
      <c r="G159" s="1"/>
      <c r="H159" s="1"/>
      <c r="I159" s="1"/>
    </row>
    <row r="160" spans="1:9">
      <c r="A160" s="1" t="s">
        <v>1773</v>
      </c>
      <c r="B160" s="1"/>
      <c r="C160" s="1"/>
      <c r="D160" s="1"/>
      <c r="E160" s="1"/>
      <c r="F160" s="1"/>
      <c r="G160" s="1"/>
      <c r="H160" s="1"/>
      <c r="I160" s="1"/>
    </row>
    <row r="161" spans="1:9">
      <c r="A161" s="1"/>
      <c r="B161" s="1"/>
      <c r="C161" s="1"/>
      <c r="D161" s="1"/>
      <c r="E161" s="1"/>
      <c r="F161" s="1"/>
      <c r="G161" s="1"/>
      <c r="H161" s="1"/>
      <c r="I161" s="1"/>
    </row>
    <row r="162" spans="1:9">
      <c r="A162" s="1"/>
      <c r="B162" s="1"/>
      <c r="C162" s="1"/>
      <c r="D162" s="1"/>
      <c r="E162" s="1"/>
      <c r="F162" s="1"/>
      <c r="G162" s="1"/>
      <c r="H162" s="1"/>
      <c r="I162" s="1"/>
    </row>
    <row r="163" spans="1:9">
      <c r="A163" s="1"/>
      <c r="B163" s="1"/>
      <c r="C163" s="1"/>
      <c r="D163" s="1"/>
      <c r="E163" s="1"/>
      <c r="F163" s="1"/>
      <c r="G163" s="1"/>
      <c r="H163" s="1"/>
      <c r="I163" s="1"/>
    </row>
    <row r="164" spans="1:9">
      <c r="A164" s="1"/>
      <c r="B164" s="1"/>
      <c r="C164" s="1"/>
      <c r="D164" s="1"/>
      <c r="E164" s="1"/>
      <c r="F164" s="1"/>
      <c r="G164" s="1"/>
      <c r="H164" s="1"/>
      <c r="I164" s="1"/>
    </row>
    <row r="165" spans="1:9">
      <c r="A165" s="1"/>
      <c r="B165" s="1"/>
      <c r="C165" s="1"/>
      <c r="D165" s="1"/>
      <c r="E165" s="1"/>
      <c r="F165" s="1"/>
      <c r="G165" s="1"/>
      <c r="H165" s="1"/>
      <c r="I165" s="1"/>
    </row>
    <row r="166" spans="1:9">
      <c r="A166" s="1"/>
      <c r="B166" s="1"/>
      <c r="C166" s="1"/>
      <c r="D166" s="1"/>
      <c r="E166" s="1"/>
      <c r="F166" s="1"/>
      <c r="G166" s="1"/>
      <c r="H166" s="1"/>
      <c r="I166" s="1"/>
    </row>
    <row r="167" spans="1:9">
      <c r="A167" s="1"/>
      <c r="B167" s="1"/>
      <c r="C167" s="1"/>
      <c r="D167" s="1"/>
      <c r="E167" s="1"/>
      <c r="F167" s="1"/>
      <c r="G167" s="1"/>
      <c r="H167" s="1"/>
      <c r="I167" s="1"/>
    </row>
    <row r="168" spans="1:9">
      <c r="A168" s="1"/>
      <c r="B168" s="1"/>
      <c r="C168" s="1"/>
      <c r="D168" s="1"/>
      <c r="E168" s="1"/>
      <c r="F168" s="1"/>
      <c r="G168" s="1"/>
      <c r="H168" s="1"/>
      <c r="I168" s="1"/>
    </row>
    <row r="172" spans="1:9" ht="36" customHeight="1">
      <c r="A172" s="18" t="s">
        <v>1774</v>
      </c>
      <c r="B172" s="18" t="s">
        <v>124</v>
      </c>
      <c r="C172" s="18" t="s">
        <v>1775</v>
      </c>
      <c r="D172" s="18" t="s">
        <v>1776</v>
      </c>
      <c r="E172" s="18" t="s">
        <v>127</v>
      </c>
      <c r="F172" s="18" t="s">
        <v>128</v>
      </c>
      <c r="G172" s="18" t="s">
        <v>1777</v>
      </c>
      <c r="H172" s="18" t="s">
        <v>1778</v>
      </c>
      <c r="I172" s="18" t="s">
        <v>1779</v>
      </c>
    </row>
    <row r="173" spans="1:9" ht="45" customHeight="1">
      <c r="A173" s="19" t="s">
        <v>1780</v>
      </c>
      <c r="B173" s="19" t="s">
        <v>338</v>
      </c>
      <c r="C173" s="19" t="s">
        <v>1781</v>
      </c>
      <c r="D173" s="19" t="s">
        <v>1782</v>
      </c>
      <c r="E173" s="19">
        <v>208</v>
      </c>
      <c r="F173" s="19">
        <v>252</v>
      </c>
      <c r="G173" s="19" t="s">
        <v>1783</v>
      </c>
      <c r="H173" s="19" t="s">
        <v>1784</v>
      </c>
      <c r="I173" s="19" t="s">
        <v>1785</v>
      </c>
    </row>
    <row r="174" spans="1:9" ht="45" customHeight="1">
      <c r="A174" s="19" t="s">
        <v>1786</v>
      </c>
      <c r="B174" s="19" t="s">
        <v>338</v>
      </c>
      <c r="C174" s="19" t="s">
        <v>1787</v>
      </c>
      <c r="D174" s="19" t="s">
        <v>1788</v>
      </c>
      <c r="E174" s="19">
        <v>253</v>
      </c>
      <c r="F174" s="19">
        <v>295</v>
      </c>
      <c r="G174" s="19" t="s">
        <v>1789</v>
      </c>
      <c r="H174" s="19" t="s">
        <v>1790</v>
      </c>
      <c r="I174" s="19" t="s">
        <v>1791</v>
      </c>
    </row>
    <row r="175" spans="1:9" ht="57" customHeight="1">
      <c r="A175" s="19" t="s">
        <v>1792</v>
      </c>
      <c r="B175" s="19" t="s">
        <v>338</v>
      </c>
      <c r="C175" s="19" t="s">
        <v>1793</v>
      </c>
      <c r="D175" s="19" t="s">
        <v>1794</v>
      </c>
      <c r="E175" s="19">
        <v>298</v>
      </c>
      <c r="F175" s="19">
        <v>350</v>
      </c>
      <c r="G175" s="19" t="s">
        <v>1783</v>
      </c>
      <c r="H175" s="19" t="s">
        <v>1795</v>
      </c>
      <c r="I175" s="19" t="s">
        <v>1796</v>
      </c>
    </row>
    <row r="176" spans="1:9" ht="57" customHeight="1">
      <c r="A176" s="19" t="s">
        <v>1797</v>
      </c>
      <c r="B176" s="19" t="s">
        <v>338</v>
      </c>
      <c r="C176" s="19" t="s">
        <v>1798</v>
      </c>
      <c r="D176" s="19" t="s">
        <v>1799</v>
      </c>
      <c r="E176" s="19">
        <v>373</v>
      </c>
      <c r="F176" s="19">
        <v>401</v>
      </c>
      <c r="G176" s="19" t="s">
        <v>1789</v>
      </c>
      <c r="H176" s="19" t="s">
        <v>1800</v>
      </c>
      <c r="I176" s="19" t="s">
        <v>1801</v>
      </c>
    </row>
    <row r="177" spans="1:9" ht="45" customHeight="1">
      <c r="A177" s="19" t="s">
        <v>1802</v>
      </c>
      <c r="B177" s="19" t="s">
        <v>1803</v>
      </c>
      <c r="C177" s="19" t="s">
        <v>1804</v>
      </c>
      <c r="D177" s="19" t="s">
        <v>1805</v>
      </c>
      <c r="E177" s="19"/>
      <c r="F177" s="19"/>
      <c r="G177" s="19" t="s">
        <v>1806</v>
      </c>
      <c r="H177" s="19" t="s">
        <v>1807</v>
      </c>
      <c r="I177" s="19" t="s">
        <v>1808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15F8C"/>
  </sheetPr>
  <dimension ref="A1:K105"/>
  <sheetViews>
    <sheetView showGridLines="0" workbookViewId="0"/>
  </sheetViews>
  <sheetFormatPr defaultRowHeight="14.25"/>
  <cols>
    <col min="1" max="11" width="13" customWidth="1"/>
  </cols>
  <sheetData>
    <row r="1" spans="1:1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7.95" customHeight="1">
      <c r="A2" s="15" t="s">
        <v>1809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6.9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36" customHeight="1">
      <c r="A4" s="66" t="s">
        <v>1810</v>
      </c>
      <c r="B4" s="66" t="s">
        <v>1810</v>
      </c>
      <c r="C4" s="66" t="s">
        <v>1810</v>
      </c>
      <c r="D4" s="66" t="s">
        <v>1810</v>
      </c>
      <c r="E4" s="66" t="s">
        <v>1810</v>
      </c>
      <c r="F4" s="66" t="s">
        <v>1810</v>
      </c>
      <c r="G4" s="66" t="s">
        <v>1810</v>
      </c>
      <c r="H4" s="66" t="s">
        <v>1810</v>
      </c>
      <c r="I4" s="66" t="s">
        <v>1810</v>
      </c>
      <c r="J4" s="66" t="s">
        <v>1810</v>
      </c>
      <c r="K4" s="66" t="s">
        <v>1810</v>
      </c>
    </row>
    <row r="5" spans="1:1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23.1" customHeight="1">
      <c r="A6" s="49" t="s">
        <v>1811</v>
      </c>
      <c r="B6" s="49" t="s">
        <v>1811</v>
      </c>
      <c r="C6" s="49" t="s">
        <v>1811</v>
      </c>
      <c r="D6" s="14"/>
      <c r="E6" s="58" t="s">
        <v>1812</v>
      </c>
      <c r="F6" s="58" t="s">
        <v>1812</v>
      </c>
      <c r="G6" s="58" t="s">
        <v>1812</v>
      </c>
      <c r="H6" s="14"/>
      <c r="I6" s="49" t="s">
        <v>1813</v>
      </c>
      <c r="J6" s="49" t="s">
        <v>1813</v>
      </c>
      <c r="K6" s="49" t="s">
        <v>1813</v>
      </c>
    </row>
    <row r="7" spans="1:11" ht="23.1" customHeight="1">
      <c r="A7" s="49" t="s">
        <v>1811</v>
      </c>
      <c r="B7" s="49" t="s">
        <v>1811</v>
      </c>
      <c r="C7" s="49" t="s">
        <v>1811</v>
      </c>
      <c r="D7" s="17" t="s">
        <v>586</v>
      </c>
      <c r="E7" s="58" t="s">
        <v>1812</v>
      </c>
      <c r="F7" s="58" t="s">
        <v>1812</v>
      </c>
      <c r="G7" s="58" t="s">
        <v>1812</v>
      </c>
      <c r="H7" s="17" t="s">
        <v>586</v>
      </c>
      <c r="I7" s="49" t="s">
        <v>1813</v>
      </c>
      <c r="J7" s="49" t="s">
        <v>1813</v>
      </c>
      <c r="K7" s="49" t="s">
        <v>1813</v>
      </c>
    </row>
    <row r="8" spans="1:11" ht="23.1" customHeight="1">
      <c r="A8" s="49" t="s">
        <v>1811</v>
      </c>
      <c r="B8" s="49" t="s">
        <v>1811</v>
      </c>
      <c r="C8" s="49" t="s">
        <v>1811</v>
      </c>
      <c r="D8" s="14"/>
      <c r="E8" s="58" t="s">
        <v>1812</v>
      </c>
      <c r="F8" s="58" t="s">
        <v>1812</v>
      </c>
      <c r="G8" s="58" t="s">
        <v>1812</v>
      </c>
      <c r="H8" s="14"/>
      <c r="I8" s="49" t="s">
        <v>1813</v>
      </c>
      <c r="J8" s="49" t="s">
        <v>1813</v>
      </c>
      <c r="K8" s="49" t="s">
        <v>1813</v>
      </c>
    </row>
    <row r="9" spans="1:11" ht="23.1" customHeight="1">
      <c r="A9" s="49" t="s">
        <v>1811</v>
      </c>
      <c r="B9" s="49" t="s">
        <v>1811</v>
      </c>
      <c r="C9" s="49" t="s">
        <v>1811</v>
      </c>
      <c r="D9" s="14"/>
      <c r="E9" s="58" t="s">
        <v>1812</v>
      </c>
      <c r="F9" s="58" t="s">
        <v>1812</v>
      </c>
      <c r="G9" s="58" t="s">
        <v>1812</v>
      </c>
      <c r="H9" s="14"/>
      <c r="I9" s="49" t="s">
        <v>1813</v>
      </c>
      <c r="J9" s="49" t="s">
        <v>1813</v>
      </c>
      <c r="K9" s="49" t="s">
        <v>1813</v>
      </c>
    </row>
    <row r="10" spans="1:11" ht="23.1" customHeight="1">
      <c r="A10" s="14"/>
      <c r="B10" s="14"/>
      <c r="C10" s="14"/>
      <c r="D10" s="14"/>
      <c r="E10" s="14"/>
      <c r="F10" s="17" t="s">
        <v>587</v>
      </c>
      <c r="G10" s="14"/>
      <c r="H10" s="14"/>
      <c r="I10" s="14"/>
      <c r="J10" s="17" t="s">
        <v>588</v>
      </c>
      <c r="K10" s="14"/>
    </row>
    <row r="11" spans="1:11" ht="23.1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23.1" customHeight="1">
      <c r="A12" s="64" t="s">
        <v>1814</v>
      </c>
      <c r="B12" s="64" t="s">
        <v>1814</v>
      </c>
      <c r="C12" s="64" t="s">
        <v>1814</v>
      </c>
      <c r="D12" s="14"/>
      <c r="E12" s="49" t="s">
        <v>1815</v>
      </c>
      <c r="F12" s="49" t="s">
        <v>1815</v>
      </c>
      <c r="G12" s="49" t="s">
        <v>1815</v>
      </c>
      <c r="H12" s="14"/>
      <c r="I12" s="64" t="s">
        <v>1816</v>
      </c>
      <c r="J12" s="64" t="s">
        <v>1816</v>
      </c>
      <c r="K12" s="64" t="s">
        <v>1816</v>
      </c>
    </row>
    <row r="13" spans="1:11" ht="23.1" customHeight="1">
      <c r="A13" s="64" t="s">
        <v>1814</v>
      </c>
      <c r="B13" s="64" t="s">
        <v>1814</v>
      </c>
      <c r="C13" s="64" t="s">
        <v>1814</v>
      </c>
      <c r="D13" s="17" t="s">
        <v>586</v>
      </c>
      <c r="E13" s="49" t="s">
        <v>1815</v>
      </c>
      <c r="F13" s="49" t="s">
        <v>1815</v>
      </c>
      <c r="G13" s="49" t="s">
        <v>1815</v>
      </c>
      <c r="H13" s="14"/>
      <c r="I13" s="64" t="s">
        <v>1816</v>
      </c>
      <c r="J13" s="64" t="s">
        <v>1816</v>
      </c>
      <c r="K13" s="64" t="s">
        <v>1816</v>
      </c>
    </row>
    <row r="14" spans="1:11" ht="23.1" customHeight="1">
      <c r="A14" s="64" t="s">
        <v>1814</v>
      </c>
      <c r="B14" s="64" t="s">
        <v>1814</v>
      </c>
      <c r="C14" s="64" t="s">
        <v>1814</v>
      </c>
      <c r="D14" s="14"/>
      <c r="E14" s="49" t="s">
        <v>1815</v>
      </c>
      <c r="F14" s="49" t="s">
        <v>1815</v>
      </c>
      <c r="G14" s="49" t="s">
        <v>1815</v>
      </c>
      <c r="H14" s="14"/>
      <c r="I14" s="64" t="s">
        <v>1816</v>
      </c>
      <c r="J14" s="64" t="s">
        <v>1816</v>
      </c>
      <c r="K14" s="64" t="s">
        <v>1816</v>
      </c>
    </row>
    <row r="15" spans="1:11" ht="23.1" customHeight="1">
      <c r="A15" s="64" t="s">
        <v>1814</v>
      </c>
      <c r="B15" s="64" t="s">
        <v>1814</v>
      </c>
      <c r="C15" s="64" t="s">
        <v>1814</v>
      </c>
      <c r="D15" s="14"/>
      <c r="E15" s="49" t="s">
        <v>1815</v>
      </c>
      <c r="F15" s="49" t="s">
        <v>1815</v>
      </c>
      <c r="G15" s="49" t="s">
        <v>1815</v>
      </c>
      <c r="H15" s="14"/>
      <c r="I15" s="64" t="s">
        <v>1816</v>
      </c>
      <c r="J15" s="64" t="s">
        <v>1816</v>
      </c>
      <c r="K15" s="64" t="s">
        <v>1816</v>
      </c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21.95" customHeight="1">
      <c r="A18" s="67" t="s">
        <v>1817</v>
      </c>
      <c r="B18" s="67" t="s">
        <v>1817</v>
      </c>
      <c r="C18" s="67" t="s">
        <v>1818</v>
      </c>
      <c r="D18" s="67" t="s">
        <v>1818</v>
      </c>
      <c r="E18" s="67" t="s">
        <v>1818</v>
      </c>
      <c r="F18" s="67" t="s">
        <v>1818</v>
      </c>
      <c r="G18" s="67" t="s">
        <v>1819</v>
      </c>
      <c r="H18" s="67" t="s">
        <v>1819</v>
      </c>
      <c r="I18" s="67" t="s">
        <v>1819</v>
      </c>
      <c r="J18" s="67" t="s">
        <v>1819</v>
      </c>
      <c r="K18" s="67" t="s">
        <v>1819</v>
      </c>
    </row>
    <row r="19" spans="1:11" ht="21.95" customHeight="1">
      <c r="A19" s="67" t="s">
        <v>1817</v>
      </c>
      <c r="B19" s="67" t="s">
        <v>1817</v>
      </c>
      <c r="C19" s="67" t="s">
        <v>1818</v>
      </c>
      <c r="D19" s="67" t="s">
        <v>1818</v>
      </c>
      <c r="E19" s="67" t="s">
        <v>1818</v>
      </c>
      <c r="F19" s="67" t="s">
        <v>1818</v>
      </c>
      <c r="G19" s="67" t="s">
        <v>1819</v>
      </c>
      <c r="H19" s="67" t="s">
        <v>1819</v>
      </c>
      <c r="I19" s="67" t="s">
        <v>1819</v>
      </c>
      <c r="J19" s="67" t="s">
        <v>1819</v>
      </c>
      <c r="K19" s="67" t="s">
        <v>1819</v>
      </c>
    </row>
    <row r="20" spans="1:11" ht="21.95" customHeight="1">
      <c r="A20" s="67" t="s">
        <v>1817</v>
      </c>
      <c r="B20" s="67" t="s">
        <v>1817</v>
      </c>
      <c r="C20" s="67" t="s">
        <v>1818</v>
      </c>
      <c r="D20" s="67" t="s">
        <v>1818</v>
      </c>
      <c r="E20" s="67" t="s">
        <v>1818</v>
      </c>
      <c r="F20" s="67" t="s">
        <v>1818</v>
      </c>
      <c r="G20" s="67" t="s">
        <v>1819</v>
      </c>
      <c r="H20" s="67" t="s">
        <v>1819</v>
      </c>
      <c r="I20" s="67" t="s">
        <v>1819</v>
      </c>
      <c r="J20" s="67" t="s">
        <v>1819</v>
      </c>
      <c r="K20" s="67" t="s">
        <v>1819</v>
      </c>
    </row>
    <row r="21" spans="1:11" ht="21.95" customHeight="1">
      <c r="A21" s="68" t="s">
        <v>1820</v>
      </c>
      <c r="B21" s="68" t="s">
        <v>1820</v>
      </c>
      <c r="C21" s="68" t="s">
        <v>1821</v>
      </c>
      <c r="D21" s="68" t="s">
        <v>1821</v>
      </c>
      <c r="E21" s="68" t="s">
        <v>1821</v>
      </c>
      <c r="F21" s="68" t="s">
        <v>1821</v>
      </c>
      <c r="G21" s="68" t="s">
        <v>1822</v>
      </c>
      <c r="H21" s="68" t="s">
        <v>1822</v>
      </c>
      <c r="I21" s="68" t="s">
        <v>1822</v>
      </c>
      <c r="J21" s="68" t="s">
        <v>1822</v>
      </c>
      <c r="K21" s="68" t="s">
        <v>1822</v>
      </c>
    </row>
    <row r="22" spans="1:11" ht="21.95" customHeight="1">
      <c r="A22" s="68" t="s">
        <v>1820</v>
      </c>
      <c r="B22" s="68" t="s">
        <v>1820</v>
      </c>
      <c r="C22" s="68" t="s">
        <v>1821</v>
      </c>
      <c r="D22" s="68" t="s">
        <v>1821</v>
      </c>
      <c r="E22" s="68" t="s">
        <v>1821</v>
      </c>
      <c r="F22" s="68" t="s">
        <v>1821</v>
      </c>
      <c r="G22" s="68" t="s">
        <v>1822</v>
      </c>
      <c r="H22" s="68" t="s">
        <v>1822</v>
      </c>
      <c r="I22" s="68" t="s">
        <v>1822</v>
      </c>
      <c r="J22" s="68" t="s">
        <v>1822</v>
      </c>
      <c r="K22" s="68" t="s">
        <v>1822</v>
      </c>
    </row>
    <row r="23" spans="1:11" ht="21.95" customHeight="1">
      <c r="A23" s="68" t="s">
        <v>1820</v>
      </c>
      <c r="B23" s="68" t="s">
        <v>1820</v>
      </c>
      <c r="C23" s="68" t="s">
        <v>1821</v>
      </c>
      <c r="D23" s="68" t="s">
        <v>1821</v>
      </c>
      <c r="E23" s="68" t="s">
        <v>1821</v>
      </c>
      <c r="F23" s="68" t="s">
        <v>1821</v>
      </c>
      <c r="G23" s="68" t="s">
        <v>1822</v>
      </c>
      <c r="H23" s="68" t="s">
        <v>1822</v>
      </c>
      <c r="I23" s="68" t="s">
        <v>1822</v>
      </c>
      <c r="J23" s="68" t="s">
        <v>1822</v>
      </c>
      <c r="K23" s="68" t="s">
        <v>1822</v>
      </c>
    </row>
    <row r="24" spans="1:11" ht="21.95" customHeight="1">
      <c r="A24" s="69" t="s">
        <v>1823</v>
      </c>
      <c r="B24" s="69" t="s">
        <v>1823</v>
      </c>
      <c r="C24" s="69" t="s">
        <v>1824</v>
      </c>
      <c r="D24" s="69" t="s">
        <v>1824</v>
      </c>
      <c r="E24" s="69" t="s">
        <v>1824</v>
      </c>
      <c r="F24" s="69" t="s">
        <v>1824</v>
      </c>
      <c r="G24" s="69" t="s">
        <v>1825</v>
      </c>
      <c r="H24" s="69" t="s">
        <v>1825</v>
      </c>
      <c r="I24" s="69" t="s">
        <v>1825</v>
      </c>
      <c r="J24" s="69" t="s">
        <v>1825</v>
      </c>
      <c r="K24" s="69" t="s">
        <v>1825</v>
      </c>
    </row>
    <row r="25" spans="1:11" ht="21.95" customHeight="1">
      <c r="A25" s="69" t="s">
        <v>1823</v>
      </c>
      <c r="B25" s="69" t="s">
        <v>1823</v>
      </c>
      <c r="C25" s="69" t="s">
        <v>1824</v>
      </c>
      <c r="D25" s="69" t="s">
        <v>1824</v>
      </c>
      <c r="E25" s="69" t="s">
        <v>1824</v>
      </c>
      <c r="F25" s="69" t="s">
        <v>1824</v>
      </c>
      <c r="G25" s="69" t="s">
        <v>1825</v>
      </c>
      <c r="H25" s="69" t="s">
        <v>1825</v>
      </c>
      <c r="I25" s="69" t="s">
        <v>1825</v>
      </c>
      <c r="J25" s="69" t="s">
        <v>1825</v>
      </c>
      <c r="K25" s="69" t="s">
        <v>1825</v>
      </c>
    </row>
    <row r="26" spans="1:11" ht="21.95" customHeight="1">
      <c r="A26" s="69" t="s">
        <v>1823</v>
      </c>
      <c r="B26" s="69" t="s">
        <v>1823</v>
      </c>
      <c r="C26" s="69" t="s">
        <v>1824</v>
      </c>
      <c r="D26" s="69" t="s">
        <v>1824</v>
      </c>
      <c r="E26" s="69" t="s">
        <v>1824</v>
      </c>
      <c r="F26" s="69" t="s">
        <v>1824</v>
      </c>
      <c r="G26" s="69" t="s">
        <v>1825</v>
      </c>
      <c r="H26" s="69" t="s">
        <v>1825</v>
      </c>
      <c r="I26" s="69" t="s">
        <v>1825</v>
      </c>
      <c r="J26" s="69" t="s">
        <v>1825</v>
      </c>
      <c r="K26" s="69" t="s">
        <v>1825</v>
      </c>
    </row>
    <row r="27" spans="1:11" ht="21.95" customHeight="1">
      <c r="A27" s="68" t="s">
        <v>1826</v>
      </c>
      <c r="B27" s="68" t="s">
        <v>1826</v>
      </c>
      <c r="C27" s="68" t="s">
        <v>1827</v>
      </c>
      <c r="D27" s="68" t="s">
        <v>1827</v>
      </c>
      <c r="E27" s="68" t="s">
        <v>1827</v>
      </c>
      <c r="F27" s="68" t="s">
        <v>1827</v>
      </c>
      <c r="G27" s="68" t="s">
        <v>1828</v>
      </c>
      <c r="H27" s="68" t="s">
        <v>1828</v>
      </c>
      <c r="I27" s="68" t="s">
        <v>1828</v>
      </c>
      <c r="J27" s="68" t="s">
        <v>1828</v>
      </c>
      <c r="K27" s="68" t="s">
        <v>1828</v>
      </c>
    </row>
    <row r="28" spans="1:11" ht="21.95" customHeight="1">
      <c r="A28" s="68" t="s">
        <v>1826</v>
      </c>
      <c r="B28" s="68" t="s">
        <v>1826</v>
      </c>
      <c r="C28" s="68" t="s">
        <v>1827</v>
      </c>
      <c r="D28" s="68" t="s">
        <v>1827</v>
      </c>
      <c r="E28" s="68" t="s">
        <v>1827</v>
      </c>
      <c r="F28" s="68" t="s">
        <v>1827</v>
      </c>
      <c r="G28" s="68" t="s">
        <v>1828</v>
      </c>
      <c r="H28" s="68" t="s">
        <v>1828</v>
      </c>
      <c r="I28" s="68" t="s">
        <v>1828</v>
      </c>
      <c r="J28" s="68" t="s">
        <v>1828</v>
      </c>
      <c r="K28" s="68" t="s">
        <v>1828</v>
      </c>
    </row>
    <row r="29" spans="1:11" ht="21.95" customHeight="1">
      <c r="A29" s="68" t="s">
        <v>1826</v>
      </c>
      <c r="B29" s="68" t="s">
        <v>1826</v>
      </c>
      <c r="C29" s="68" t="s">
        <v>1827</v>
      </c>
      <c r="D29" s="68" t="s">
        <v>1827</v>
      </c>
      <c r="E29" s="68" t="s">
        <v>1827</v>
      </c>
      <c r="F29" s="68" t="s">
        <v>1827</v>
      </c>
      <c r="G29" s="68" t="s">
        <v>1828</v>
      </c>
      <c r="H29" s="68" t="s">
        <v>1828</v>
      </c>
      <c r="I29" s="68" t="s">
        <v>1828</v>
      </c>
      <c r="J29" s="68" t="s">
        <v>1828</v>
      </c>
      <c r="K29" s="68" t="s">
        <v>1828</v>
      </c>
    </row>
    <row r="30" spans="1:11" ht="21.95" customHeight="1">
      <c r="A30" s="69" t="s">
        <v>1829</v>
      </c>
      <c r="B30" s="69" t="s">
        <v>1829</v>
      </c>
      <c r="C30" s="69" t="s">
        <v>1830</v>
      </c>
      <c r="D30" s="69" t="s">
        <v>1830</v>
      </c>
      <c r="E30" s="69" t="s">
        <v>1830</v>
      </c>
      <c r="F30" s="69" t="s">
        <v>1830</v>
      </c>
      <c r="G30" s="69" t="s">
        <v>1831</v>
      </c>
      <c r="H30" s="69" t="s">
        <v>1831</v>
      </c>
      <c r="I30" s="69" t="s">
        <v>1831</v>
      </c>
      <c r="J30" s="69" t="s">
        <v>1831</v>
      </c>
      <c r="K30" s="69" t="s">
        <v>1831</v>
      </c>
    </row>
    <row r="31" spans="1:11" ht="21.95" customHeight="1">
      <c r="A31" s="69" t="s">
        <v>1829</v>
      </c>
      <c r="B31" s="69" t="s">
        <v>1829</v>
      </c>
      <c r="C31" s="69" t="s">
        <v>1830</v>
      </c>
      <c r="D31" s="69" t="s">
        <v>1830</v>
      </c>
      <c r="E31" s="69" t="s">
        <v>1830</v>
      </c>
      <c r="F31" s="69" t="s">
        <v>1830</v>
      </c>
      <c r="G31" s="69" t="s">
        <v>1831</v>
      </c>
      <c r="H31" s="69" t="s">
        <v>1831</v>
      </c>
      <c r="I31" s="69" t="s">
        <v>1831</v>
      </c>
      <c r="J31" s="69" t="s">
        <v>1831</v>
      </c>
      <c r="K31" s="69" t="s">
        <v>1831</v>
      </c>
    </row>
    <row r="32" spans="1:11" ht="21.95" customHeight="1">
      <c r="A32" s="69" t="s">
        <v>1829</v>
      </c>
      <c r="B32" s="69" t="s">
        <v>1829</v>
      </c>
      <c r="C32" s="69" t="s">
        <v>1830</v>
      </c>
      <c r="D32" s="69" t="s">
        <v>1830</v>
      </c>
      <c r="E32" s="69" t="s">
        <v>1830</v>
      </c>
      <c r="F32" s="69" t="s">
        <v>1830</v>
      </c>
      <c r="G32" s="69" t="s">
        <v>1831</v>
      </c>
      <c r="H32" s="69" t="s">
        <v>1831</v>
      </c>
      <c r="I32" s="69" t="s">
        <v>1831</v>
      </c>
      <c r="J32" s="69" t="s">
        <v>1831</v>
      </c>
      <c r="K32" s="69" t="s">
        <v>1831</v>
      </c>
    </row>
    <row r="33" spans="1:11" ht="21.95" customHeight="1">
      <c r="A33" s="68" t="s">
        <v>1832</v>
      </c>
      <c r="B33" s="68" t="s">
        <v>1832</v>
      </c>
      <c r="C33" s="68" t="s">
        <v>1833</v>
      </c>
      <c r="D33" s="68" t="s">
        <v>1833</v>
      </c>
      <c r="E33" s="68" t="s">
        <v>1833</v>
      </c>
      <c r="F33" s="68" t="s">
        <v>1833</v>
      </c>
      <c r="G33" s="68" t="s">
        <v>1834</v>
      </c>
      <c r="H33" s="68" t="s">
        <v>1834</v>
      </c>
      <c r="I33" s="68" t="s">
        <v>1834</v>
      </c>
      <c r="J33" s="68" t="s">
        <v>1834</v>
      </c>
      <c r="K33" s="68" t="s">
        <v>1834</v>
      </c>
    </row>
    <row r="34" spans="1:11" ht="21.95" customHeight="1">
      <c r="A34" s="68" t="s">
        <v>1832</v>
      </c>
      <c r="B34" s="68" t="s">
        <v>1832</v>
      </c>
      <c r="C34" s="68" t="s">
        <v>1833</v>
      </c>
      <c r="D34" s="68" t="s">
        <v>1833</v>
      </c>
      <c r="E34" s="68" t="s">
        <v>1833</v>
      </c>
      <c r="F34" s="68" t="s">
        <v>1833</v>
      </c>
      <c r="G34" s="68" t="s">
        <v>1834</v>
      </c>
      <c r="H34" s="68" t="s">
        <v>1834</v>
      </c>
      <c r="I34" s="68" t="s">
        <v>1834</v>
      </c>
      <c r="J34" s="68" t="s">
        <v>1834</v>
      </c>
      <c r="K34" s="68" t="s">
        <v>1834</v>
      </c>
    </row>
    <row r="35" spans="1:11" ht="21.95" customHeight="1">
      <c r="A35" s="68" t="s">
        <v>1832</v>
      </c>
      <c r="B35" s="68" t="s">
        <v>1832</v>
      </c>
      <c r="C35" s="68" t="s">
        <v>1833</v>
      </c>
      <c r="D35" s="68" t="s">
        <v>1833</v>
      </c>
      <c r="E35" s="68" t="s">
        <v>1833</v>
      </c>
      <c r="F35" s="68" t="s">
        <v>1833</v>
      </c>
      <c r="G35" s="68" t="s">
        <v>1834</v>
      </c>
      <c r="H35" s="68" t="s">
        <v>1834</v>
      </c>
      <c r="I35" s="68" t="s">
        <v>1834</v>
      </c>
      <c r="J35" s="68" t="s">
        <v>1834</v>
      </c>
      <c r="K35" s="68" t="s">
        <v>1834</v>
      </c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ht="21.95" customHeight="1">
      <c r="A38" s="67" t="s">
        <v>1835</v>
      </c>
      <c r="B38" s="67" t="s">
        <v>1835</v>
      </c>
      <c r="C38" s="67" t="s">
        <v>1836</v>
      </c>
      <c r="D38" s="67" t="s">
        <v>1836</v>
      </c>
      <c r="E38" s="67" t="s">
        <v>1836</v>
      </c>
      <c r="F38" s="67" t="s">
        <v>1836</v>
      </c>
      <c r="G38" s="67" t="s">
        <v>1837</v>
      </c>
      <c r="H38" s="67" t="s">
        <v>1837</v>
      </c>
      <c r="I38" s="67" t="s">
        <v>1837</v>
      </c>
      <c r="J38" s="67" t="s">
        <v>1837</v>
      </c>
      <c r="K38" s="67" t="s">
        <v>1837</v>
      </c>
    </row>
    <row r="39" spans="1:11" ht="21.95" customHeight="1">
      <c r="A39" s="67" t="s">
        <v>1835</v>
      </c>
      <c r="B39" s="67" t="s">
        <v>1835</v>
      </c>
      <c r="C39" s="67" t="s">
        <v>1836</v>
      </c>
      <c r="D39" s="67" t="s">
        <v>1836</v>
      </c>
      <c r="E39" s="67" t="s">
        <v>1836</v>
      </c>
      <c r="F39" s="67" t="s">
        <v>1836</v>
      </c>
      <c r="G39" s="67" t="s">
        <v>1837</v>
      </c>
      <c r="H39" s="67" t="s">
        <v>1837</v>
      </c>
      <c r="I39" s="67" t="s">
        <v>1837</v>
      </c>
      <c r="J39" s="67" t="s">
        <v>1837</v>
      </c>
      <c r="K39" s="67" t="s">
        <v>1837</v>
      </c>
    </row>
    <row r="40" spans="1:11" ht="21.95" customHeight="1">
      <c r="A40" s="67" t="s">
        <v>1835</v>
      </c>
      <c r="B40" s="67" t="s">
        <v>1835</v>
      </c>
      <c r="C40" s="67" t="s">
        <v>1836</v>
      </c>
      <c r="D40" s="67" t="s">
        <v>1836</v>
      </c>
      <c r="E40" s="67" t="s">
        <v>1836</v>
      </c>
      <c r="F40" s="67" t="s">
        <v>1836</v>
      </c>
      <c r="G40" s="67" t="s">
        <v>1837</v>
      </c>
      <c r="H40" s="67" t="s">
        <v>1837</v>
      </c>
      <c r="I40" s="67" t="s">
        <v>1837</v>
      </c>
      <c r="J40" s="67" t="s">
        <v>1837</v>
      </c>
      <c r="K40" s="67" t="s">
        <v>1837</v>
      </c>
    </row>
    <row r="41" spans="1:11" ht="21.95" customHeight="1">
      <c r="A41" s="68" t="s">
        <v>1838</v>
      </c>
      <c r="B41" s="68" t="s">
        <v>1838</v>
      </c>
      <c r="C41" s="68" t="s">
        <v>1839</v>
      </c>
      <c r="D41" s="68" t="s">
        <v>1839</v>
      </c>
      <c r="E41" s="68" t="s">
        <v>1839</v>
      </c>
      <c r="F41" s="68" t="s">
        <v>1839</v>
      </c>
      <c r="G41" s="68" t="s">
        <v>1840</v>
      </c>
      <c r="H41" s="68" t="s">
        <v>1840</v>
      </c>
      <c r="I41" s="68" t="s">
        <v>1840</v>
      </c>
      <c r="J41" s="68" t="s">
        <v>1840</v>
      </c>
      <c r="K41" s="68" t="s">
        <v>1840</v>
      </c>
    </row>
    <row r="42" spans="1:11" ht="21.95" customHeight="1">
      <c r="A42" s="68" t="s">
        <v>1838</v>
      </c>
      <c r="B42" s="68" t="s">
        <v>1838</v>
      </c>
      <c r="C42" s="68" t="s">
        <v>1839</v>
      </c>
      <c r="D42" s="68" t="s">
        <v>1839</v>
      </c>
      <c r="E42" s="68" t="s">
        <v>1839</v>
      </c>
      <c r="F42" s="68" t="s">
        <v>1839</v>
      </c>
      <c r="G42" s="68" t="s">
        <v>1840</v>
      </c>
      <c r="H42" s="68" t="s">
        <v>1840</v>
      </c>
      <c r="I42" s="68" t="s">
        <v>1840</v>
      </c>
      <c r="J42" s="68" t="s">
        <v>1840</v>
      </c>
      <c r="K42" s="68" t="s">
        <v>1840</v>
      </c>
    </row>
    <row r="43" spans="1:11" ht="21.95" customHeight="1">
      <c r="A43" s="68" t="s">
        <v>1838</v>
      </c>
      <c r="B43" s="68" t="s">
        <v>1838</v>
      </c>
      <c r="C43" s="68" t="s">
        <v>1839</v>
      </c>
      <c r="D43" s="68" t="s">
        <v>1839</v>
      </c>
      <c r="E43" s="68" t="s">
        <v>1839</v>
      </c>
      <c r="F43" s="68" t="s">
        <v>1839</v>
      </c>
      <c r="G43" s="68" t="s">
        <v>1840</v>
      </c>
      <c r="H43" s="68" t="s">
        <v>1840</v>
      </c>
      <c r="I43" s="68" t="s">
        <v>1840</v>
      </c>
      <c r="J43" s="68" t="s">
        <v>1840</v>
      </c>
      <c r="K43" s="68" t="s">
        <v>1840</v>
      </c>
    </row>
    <row r="44" spans="1:11" ht="21.95" customHeight="1">
      <c r="A44" s="69" t="s">
        <v>1841</v>
      </c>
      <c r="B44" s="69" t="s">
        <v>1841</v>
      </c>
      <c r="C44" s="69" t="s">
        <v>1842</v>
      </c>
      <c r="D44" s="69" t="s">
        <v>1842</v>
      </c>
      <c r="E44" s="69" t="s">
        <v>1842</v>
      </c>
      <c r="F44" s="69" t="s">
        <v>1842</v>
      </c>
      <c r="G44" s="69" t="s">
        <v>1843</v>
      </c>
      <c r="H44" s="69" t="s">
        <v>1843</v>
      </c>
      <c r="I44" s="69" t="s">
        <v>1843</v>
      </c>
      <c r="J44" s="69" t="s">
        <v>1843</v>
      </c>
      <c r="K44" s="69" t="s">
        <v>1843</v>
      </c>
    </row>
    <row r="45" spans="1:11" ht="21.95" customHeight="1">
      <c r="A45" s="69" t="s">
        <v>1841</v>
      </c>
      <c r="B45" s="69" t="s">
        <v>1841</v>
      </c>
      <c r="C45" s="69" t="s">
        <v>1842</v>
      </c>
      <c r="D45" s="69" t="s">
        <v>1842</v>
      </c>
      <c r="E45" s="69" t="s">
        <v>1842</v>
      </c>
      <c r="F45" s="69" t="s">
        <v>1842</v>
      </c>
      <c r="G45" s="69" t="s">
        <v>1843</v>
      </c>
      <c r="H45" s="69" t="s">
        <v>1843</v>
      </c>
      <c r="I45" s="69" t="s">
        <v>1843</v>
      </c>
      <c r="J45" s="69" t="s">
        <v>1843</v>
      </c>
      <c r="K45" s="69" t="s">
        <v>1843</v>
      </c>
    </row>
    <row r="46" spans="1:11" ht="21.95" customHeight="1">
      <c r="A46" s="69" t="s">
        <v>1841</v>
      </c>
      <c r="B46" s="69" t="s">
        <v>1841</v>
      </c>
      <c r="C46" s="69" t="s">
        <v>1842</v>
      </c>
      <c r="D46" s="69" t="s">
        <v>1842</v>
      </c>
      <c r="E46" s="69" t="s">
        <v>1842</v>
      </c>
      <c r="F46" s="69" t="s">
        <v>1842</v>
      </c>
      <c r="G46" s="69" t="s">
        <v>1843</v>
      </c>
      <c r="H46" s="69" t="s">
        <v>1843</v>
      </c>
      <c r="I46" s="69" t="s">
        <v>1843</v>
      </c>
      <c r="J46" s="69" t="s">
        <v>1843</v>
      </c>
      <c r="K46" s="69" t="s">
        <v>1843</v>
      </c>
    </row>
    <row r="47" spans="1:11" ht="21.95" customHeight="1">
      <c r="A47" s="68" t="s">
        <v>1844</v>
      </c>
      <c r="B47" s="68" t="s">
        <v>1844</v>
      </c>
      <c r="C47" s="68" t="s">
        <v>1845</v>
      </c>
      <c r="D47" s="68" t="s">
        <v>1845</v>
      </c>
      <c r="E47" s="68" t="s">
        <v>1845</v>
      </c>
      <c r="F47" s="68" t="s">
        <v>1845</v>
      </c>
      <c r="G47" s="68" t="s">
        <v>1846</v>
      </c>
      <c r="H47" s="68" t="s">
        <v>1846</v>
      </c>
      <c r="I47" s="68" t="s">
        <v>1846</v>
      </c>
      <c r="J47" s="68" t="s">
        <v>1846</v>
      </c>
      <c r="K47" s="68" t="s">
        <v>1846</v>
      </c>
    </row>
    <row r="48" spans="1:11" ht="21.95" customHeight="1">
      <c r="A48" s="68" t="s">
        <v>1844</v>
      </c>
      <c r="B48" s="68" t="s">
        <v>1844</v>
      </c>
      <c r="C48" s="68" t="s">
        <v>1845</v>
      </c>
      <c r="D48" s="68" t="s">
        <v>1845</v>
      </c>
      <c r="E48" s="68" t="s">
        <v>1845</v>
      </c>
      <c r="F48" s="68" t="s">
        <v>1845</v>
      </c>
      <c r="G48" s="68" t="s">
        <v>1846</v>
      </c>
      <c r="H48" s="68" t="s">
        <v>1846</v>
      </c>
      <c r="I48" s="68" t="s">
        <v>1846</v>
      </c>
      <c r="J48" s="68" t="s">
        <v>1846</v>
      </c>
      <c r="K48" s="68" t="s">
        <v>1846</v>
      </c>
    </row>
    <row r="49" spans="1:11" ht="21.95" customHeight="1">
      <c r="A49" s="68" t="s">
        <v>1844</v>
      </c>
      <c r="B49" s="68" t="s">
        <v>1844</v>
      </c>
      <c r="C49" s="68" t="s">
        <v>1845</v>
      </c>
      <c r="D49" s="68" t="s">
        <v>1845</v>
      </c>
      <c r="E49" s="68" t="s">
        <v>1845</v>
      </c>
      <c r="F49" s="68" t="s">
        <v>1845</v>
      </c>
      <c r="G49" s="68" t="s">
        <v>1846</v>
      </c>
      <c r="H49" s="68" t="s">
        <v>1846</v>
      </c>
      <c r="I49" s="68" t="s">
        <v>1846</v>
      </c>
      <c r="J49" s="68" t="s">
        <v>1846</v>
      </c>
      <c r="K49" s="68" t="s">
        <v>1846</v>
      </c>
    </row>
    <row r="50" spans="1:11" ht="21.95" customHeight="1">
      <c r="A50" s="69" t="s">
        <v>1329</v>
      </c>
      <c r="B50" s="69" t="s">
        <v>1329</v>
      </c>
      <c r="C50" s="69" t="s">
        <v>1847</v>
      </c>
      <c r="D50" s="69" t="s">
        <v>1847</v>
      </c>
      <c r="E50" s="69" t="s">
        <v>1847</v>
      </c>
      <c r="F50" s="69" t="s">
        <v>1847</v>
      </c>
      <c r="G50" s="69" t="s">
        <v>1848</v>
      </c>
      <c r="H50" s="69" t="s">
        <v>1848</v>
      </c>
      <c r="I50" s="69" t="s">
        <v>1848</v>
      </c>
      <c r="J50" s="69" t="s">
        <v>1848</v>
      </c>
      <c r="K50" s="69" t="s">
        <v>1848</v>
      </c>
    </row>
    <row r="51" spans="1:11" ht="21.95" customHeight="1">
      <c r="A51" s="69" t="s">
        <v>1329</v>
      </c>
      <c r="B51" s="69" t="s">
        <v>1329</v>
      </c>
      <c r="C51" s="69" t="s">
        <v>1847</v>
      </c>
      <c r="D51" s="69" t="s">
        <v>1847</v>
      </c>
      <c r="E51" s="69" t="s">
        <v>1847</v>
      </c>
      <c r="F51" s="69" t="s">
        <v>1847</v>
      </c>
      <c r="G51" s="69" t="s">
        <v>1848</v>
      </c>
      <c r="H51" s="69" t="s">
        <v>1848</v>
      </c>
      <c r="I51" s="69" t="s">
        <v>1848</v>
      </c>
      <c r="J51" s="69" t="s">
        <v>1848</v>
      </c>
      <c r="K51" s="69" t="s">
        <v>1848</v>
      </c>
    </row>
    <row r="52" spans="1:11" ht="21.95" customHeight="1">
      <c r="A52" s="69" t="s">
        <v>1329</v>
      </c>
      <c r="B52" s="69" t="s">
        <v>1329</v>
      </c>
      <c r="C52" s="69" t="s">
        <v>1847</v>
      </c>
      <c r="D52" s="69" t="s">
        <v>1847</v>
      </c>
      <c r="E52" s="69" t="s">
        <v>1847</v>
      </c>
      <c r="F52" s="69" t="s">
        <v>1847</v>
      </c>
      <c r="G52" s="69" t="s">
        <v>1848</v>
      </c>
      <c r="H52" s="69" t="s">
        <v>1848</v>
      </c>
      <c r="I52" s="69" t="s">
        <v>1848</v>
      </c>
      <c r="J52" s="69" t="s">
        <v>1848</v>
      </c>
      <c r="K52" s="69" t="s">
        <v>1848</v>
      </c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ht="21.95" customHeight="1">
      <c r="A55" s="67" t="s">
        <v>1849</v>
      </c>
      <c r="B55" s="67" t="s">
        <v>1849</v>
      </c>
      <c r="C55" s="67" t="s">
        <v>1850</v>
      </c>
      <c r="D55" s="67" t="s">
        <v>1850</v>
      </c>
      <c r="E55" s="67" t="s">
        <v>1850</v>
      </c>
      <c r="F55" s="67" t="s">
        <v>1850</v>
      </c>
      <c r="G55" s="67" t="s">
        <v>1851</v>
      </c>
      <c r="H55" s="67" t="s">
        <v>1851</v>
      </c>
      <c r="I55" s="67" t="s">
        <v>1851</v>
      </c>
      <c r="J55" s="67" t="s">
        <v>1851</v>
      </c>
      <c r="K55" s="67" t="s">
        <v>1851</v>
      </c>
    </row>
    <row r="56" spans="1:11" ht="21.95" customHeight="1">
      <c r="A56" s="67" t="s">
        <v>1849</v>
      </c>
      <c r="B56" s="67" t="s">
        <v>1849</v>
      </c>
      <c r="C56" s="67" t="s">
        <v>1850</v>
      </c>
      <c r="D56" s="67" t="s">
        <v>1850</v>
      </c>
      <c r="E56" s="67" t="s">
        <v>1850</v>
      </c>
      <c r="F56" s="67" t="s">
        <v>1850</v>
      </c>
      <c r="G56" s="67" t="s">
        <v>1851</v>
      </c>
      <c r="H56" s="67" t="s">
        <v>1851</v>
      </c>
      <c r="I56" s="67" t="s">
        <v>1851</v>
      </c>
      <c r="J56" s="67" t="s">
        <v>1851</v>
      </c>
      <c r="K56" s="67" t="s">
        <v>1851</v>
      </c>
    </row>
    <row r="57" spans="1:11" ht="21.95" customHeight="1">
      <c r="A57" s="67" t="s">
        <v>1849</v>
      </c>
      <c r="B57" s="67" t="s">
        <v>1849</v>
      </c>
      <c r="C57" s="67" t="s">
        <v>1850</v>
      </c>
      <c r="D57" s="67" t="s">
        <v>1850</v>
      </c>
      <c r="E57" s="67" t="s">
        <v>1850</v>
      </c>
      <c r="F57" s="67" t="s">
        <v>1850</v>
      </c>
      <c r="G57" s="67" t="s">
        <v>1851</v>
      </c>
      <c r="H57" s="67" t="s">
        <v>1851</v>
      </c>
      <c r="I57" s="67" t="s">
        <v>1851</v>
      </c>
      <c r="J57" s="67" t="s">
        <v>1851</v>
      </c>
      <c r="K57" s="67" t="s">
        <v>1851</v>
      </c>
    </row>
    <row r="58" spans="1:11" ht="21.95" customHeight="1">
      <c r="A58" s="68" t="s">
        <v>1852</v>
      </c>
      <c r="B58" s="68" t="s">
        <v>1852</v>
      </c>
      <c r="C58" s="68" t="s">
        <v>1853</v>
      </c>
      <c r="D58" s="68" t="s">
        <v>1853</v>
      </c>
      <c r="E58" s="68" t="s">
        <v>1853</v>
      </c>
      <c r="F58" s="68" t="s">
        <v>1853</v>
      </c>
      <c r="G58" s="68" t="s">
        <v>1854</v>
      </c>
      <c r="H58" s="68" t="s">
        <v>1854</v>
      </c>
      <c r="I58" s="68" t="s">
        <v>1854</v>
      </c>
      <c r="J58" s="68" t="s">
        <v>1854</v>
      </c>
      <c r="K58" s="68" t="s">
        <v>1854</v>
      </c>
    </row>
    <row r="59" spans="1:11" ht="21.95" customHeight="1">
      <c r="A59" s="68" t="s">
        <v>1852</v>
      </c>
      <c r="B59" s="68" t="s">
        <v>1852</v>
      </c>
      <c r="C59" s="68" t="s">
        <v>1853</v>
      </c>
      <c r="D59" s="68" t="s">
        <v>1853</v>
      </c>
      <c r="E59" s="68" t="s">
        <v>1853</v>
      </c>
      <c r="F59" s="68" t="s">
        <v>1853</v>
      </c>
      <c r="G59" s="68" t="s">
        <v>1854</v>
      </c>
      <c r="H59" s="68" t="s">
        <v>1854</v>
      </c>
      <c r="I59" s="68" t="s">
        <v>1854</v>
      </c>
      <c r="J59" s="68" t="s">
        <v>1854</v>
      </c>
      <c r="K59" s="68" t="s">
        <v>1854</v>
      </c>
    </row>
    <row r="60" spans="1:11" ht="21.95" customHeight="1">
      <c r="A60" s="68" t="s">
        <v>1852</v>
      </c>
      <c r="B60" s="68" t="s">
        <v>1852</v>
      </c>
      <c r="C60" s="68" t="s">
        <v>1853</v>
      </c>
      <c r="D60" s="68" t="s">
        <v>1853</v>
      </c>
      <c r="E60" s="68" t="s">
        <v>1853</v>
      </c>
      <c r="F60" s="68" t="s">
        <v>1853</v>
      </c>
      <c r="G60" s="68" t="s">
        <v>1854</v>
      </c>
      <c r="H60" s="68" t="s">
        <v>1854</v>
      </c>
      <c r="I60" s="68" t="s">
        <v>1854</v>
      </c>
      <c r="J60" s="68" t="s">
        <v>1854</v>
      </c>
      <c r="K60" s="68" t="s">
        <v>1854</v>
      </c>
    </row>
    <row r="61" spans="1:11" ht="21.95" customHeight="1">
      <c r="A61" s="69" t="s">
        <v>1855</v>
      </c>
      <c r="B61" s="69" t="s">
        <v>1855</v>
      </c>
      <c r="C61" s="69" t="s">
        <v>1856</v>
      </c>
      <c r="D61" s="69" t="s">
        <v>1856</v>
      </c>
      <c r="E61" s="69" t="s">
        <v>1856</v>
      </c>
      <c r="F61" s="69" t="s">
        <v>1856</v>
      </c>
      <c r="G61" s="69" t="s">
        <v>1857</v>
      </c>
      <c r="H61" s="69" t="s">
        <v>1857</v>
      </c>
      <c r="I61" s="69" t="s">
        <v>1857</v>
      </c>
      <c r="J61" s="69" t="s">
        <v>1857</v>
      </c>
      <c r="K61" s="69" t="s">
        <v>1857</v>
      </c>
    </row>
    <row r="62" spans="1:11" ht="21.95" customHeight="1">
      <c r="A62" s="69" t="s">
        <v>1855</v>
      </c>
      <c r="B62" s="69" t="s">
        <v>1855</v>
      </c>
      <c r="C62" s="69" t="s">
        <v>1856</v>
      </c>
      <c r="D62" s="69" t="s">
        <v>1856</v>
      </c>
      <c r="E62" s="69" t="s">
        <v>1856</v>
      </c>
      <c r="F62" s="69" t="s">
        <v>1856</v>
      </c>
      <c r="G62" s="69" t="s">
        <v>1857</v>
      </c>
      <c r="H62" s="69" t="s">
        <v>1857</v>
      </c>
      <c r="I62" s="69" t="s">
        <v>1857</v>
      </c>
      <c r="J62" s="69" t="s">
        <v>1857</v>
      </c>
      <c r="K62" s="69" t="s">
        <v>1857</v>
      </c>
    </row>
    <row r="63" spans="1:11" ht="21.95" customHeight="1">
      <c r="A63" s="69" t="s">
        <v>1855</v>
      </c>
      <c r="B63" s="69" t="s">
        <v>1855</v>
      </c>
      <c r="C63" s="69" t="s">
        <v>1856</v>
      </c>
      <c r="D63" s="69" t="s">
        <v>1856</v>
      </c>
      <c r="E63" s="69" t="s">
        <v>1856</v>
      </c>
      <c r="F63" s="69" t="s">
        <v>1856</v>
      </c>
      <c r="G63" s="69" t="s">
        <v>1857</v>
      </c>
      <c r="H63" s="69" t="s">
        <v>1857</v>
      </c>
      <c r="I63" s="69" t="s">
        <v>1857</v>
      </c>
      <c r="J63" s="69" t="s">
        <v>1857</v>
      </c>
      <c r="K63" s="69" t="s">
        <v>1857</v>
      </c>
    </row>
    <row r="64" spans="1:11" ht="21.95" customHeight="1">
      <c r="A64" s="68" t="s">
        <v>1858</v>
      </c>
      <c r="B64" s="68" t="s">
        <v>1858</v>
      </c>
      <c r="C64" s="68" t="s">
        <v>1859</v>
      </c>
      <c r="D64" s="68" t="s">
        <v>1859</v>
      </c>
      <c r="E64" s="68" t="s">
        <v>1859</v>
      </c>
      <c r="F64" s="68" t="s">
        <v>1859</v>
      </c>
      <c r="G64" s="68" t="s">
        <v>1860</v>
      </c>
      <c r="H64" s="68" t="s">
        <v>1860</v>
      </c>
      <c r="I64" s="68" t="s">
        <v>1860</v>
      </c>
      <c r="J64" s="68" t="s">
        <v>1860</v>
      </c>
      <c r="K64" s="68" t="s">
        <v>1860</v>
      </c>
    </row>
    <row r="65" spans="1:11" ht="21.95" customHeight="1">
      <c r="A65" s="68" t="s">
        <v>1858</v>
      </c>
      <c r="B65" s="68" t="s">
        <v>1858</v>
      </c>
      <c r="C65" s="68" t="s">
        <v>1859</v>
      </c>
      <c r="D65" s="68" t="s">
        <v>1859</v>
      </c>
      <c r="E65" s="68" t="s">
        <v>1859</v>
      </c>
      <c r="F65" s="68" t="s">
        <v>1859</v>
      </c>
      <c r="G65" s="68" t="s">
        <v>1860</v>
      </c>
      <c r="H65" s="68" t="s">
        <v>1860</v>
      </c>
      <c r="I65" s="68" t="s">
        <v>1860</v>
      </c>
      <c r="J65" s="68" t="s">
        <v>1860</v>
      </c>
      <c r="K65" s="68" t="s">
        <v>1860</v>
      </c>
    </row>
    <row r="66" spans="1:11" ht="21.95" customHeight="1">
      <c r="A66" s="68" t="s">
        <v>1858</v>
      </c>
      <c r="B66" s="68" t="s">
        <v>1858</v>
      </c>
      <c r="C66" s="68" t="s">
        <v>1859</v>
      </c>
      <c r="D66" s="68" t="s">
        <v>1859</v>
      </c>
      <c r="E66" s="68" t="s">
        <v>1859</v>
      </c>
      <c r="F66" s="68" t="s">
        <v>1859</v>
      </c>
      <c r="G66" s="68" t="s">
        <v>1860</v>
      </c>
      <c r="H66" s="68" t="s">
        <v>1860</v>
      </c>
      <c r="I66" s="68" t="s">
        <v>1860</v>
      </c>
      <c r="J66" s="68" t="s">
        <v>1860</v>
      </c>
      <c r="K66" s="68" t="s">
        <v>1860</v>
      </c>
    </row>
    <row r="67" spans="1:11" ht="21.95" customHeight="1">
      <c r="A67" s="69" t="s">
        <v>1861</v>
      </c>
      <c r="B67" s="69" t="s">
        <v>1861</v>
      </c>
      <c r="C67" s="69" t="s">
        <v>1862</v>
      </c>
      <c r="D67" s="69" t="s">
        <v>1862</v>
      </c>
      <c r="E67" s="69" t="s">
        <v>1862</v>
      </c>
      <c r="F67" s="69" t="s">
        <v>1862</v>
      </c>
      <c r="G67" s="69" t="s">
        <v>1863</v>
      </c>
      <c r="H67" s="69" t="s">
        <v>1863</v>
      </c>
      <c r="I67" s="69" t="s">
        <v>1863</v>
      </c>
      <c r="J67" s="69" t="s">
        <v>1863</v>
      </c>
      <c r="K67" s="69" t="s">
        <v>1863</v>
      </c>
    </row>
    <row r="68" spans="1:11" ht="21.95" customHeight="1">
      <c r="A68" s="69" t="s">
        <v>1861</v>
      </c>
      <c r="B68" s="69" t="s">
        <v>1861</v>
      </c>
      <c r="C68" s="69" t="s">
        <v>1862</v>
      </c>
      <c r="D68" s="69" t="s">
        <v>1862</v>
      </c>
      <c r="E68" s="69" t="s">
        <v>1862</v>
      </c>
      <c r="F68" s="69" t="s">
        <v>1862</v>
      </c>
      <c r="G68" s="69" t="s">
        <v>1863</v>
      </c>
      <c r="H68" s="69" t="s">
        <v>1863</v>
      </c>
      <c r="I68" s="69" t="s">
        <v>1863</v>
      </c>
      <c r="J68" s="69" t="s">
        <v>1863</v>
      </c>
      <c r="K68" s="69" t="s">
        <v>1863</v>
      </c>
    </row>
    <row r="69" spans="1:11" ht="21.95" customHeight="1">
      <c r="A69" s="69" t="s">
        <v>1861</v>
      </c>
      <c r="B69" s="69" t="s">
        <v>1861</v>
      </c>
      <c r="C69" s="69" t="s">
        <v>1862</v>
      </c>
      <c r="D69" s="69" t="s">
        <v>1862</v>
      </c>
      <c r="E69" s="69" t="s">
        <v>1862</v>
      </c>
      <c r="F69" s="69" t="s">
        <v>1862</v>
      </c>
      <c r="G69" s="69" t="s">
        <v>1863</v>
      </c>
      <c r="H69" s="69" t="s">
        <v>1863</v>
      </c>
      <c r="I69" s="69" t="s">
        <v>1863</v>
      </c>
      <c r="J69" s="69" t="s">
        <v>1863</v>
      </c>
      <c r="K69" s="69" t="s">
        <v>1863</v>
      </c>
    </row>
    <row r="70" spans="1:1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1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ht="21.95" customHeight="1">
      <c r="A72" s="67" t="s">
        <v>1777</v>
      </c>
      <c r="B72" s="67" t="s">
        <v>1777</v>
      </c>
      <c r="C72" s="67" t="s">
        <v>1864</v>
      </c>
      <c r="D72" s="67" t="s">
        <v>1864</v>
      </c>
      <c r="E72" s="67" t="s">
        <v>1864</v>
      </c>
      <c r="F72" s="67" t="s">
        <v>1864</v>
      </c>
      <c r="G72" s="67" t="s">
        <v>1865</v>
      </c>
      <c r="H72" s="67" t="s">
        <v>1865</v>
      </c>
      <c r="I72" s="67" t="s">
        <v>1865</v>
      </c>
      <c r="J72" s="67" t="s">
        <v>1865</v>
      </c>
      <c r="K72" s="67" t="s">
        <v>1865</v>
      </c>
    </row>
    <row r="73" spans="1:11" ht="21.95" customHeight="1">
      <c r="A73" s="67" t="s">
        <v>1777</v>
      </c>
      <c r="B73" s="67" t="s">
        <v>1777</v>
      </c>
      <c r="C73" s="67" t="s">
        <v>1864</v>
      </c>
      <c r="D73" s="67" t="s">
        <v>1864</v>
      </c>
      <c r="E73" s="67" t="s">
        <v>1864</v>
      </c>
      <c r="F73" s="67" t="s">
        <v>1864</v>
      </c>
      <c r="G73" s="67" t="s">
        <v>1865</v>
      </c>
      <c r="H73" s="67" t="s">
        <v>1865</v>
      </c>
      <c r="I73" s="67" t="s">
        <v>1865</v>
      </c>
      <c r="J73" s="67" t="s">
        <v>1865</v>
      </c>
      <c r="K73" s="67" t="s">
        <v>1865</v>
      </c>
    </row>
    <row r="74" spans="1:11" ht="21.95" customHeight="1">
      <c r="A74" s="67" t="s">
        <v>1777</v>
      </c>
      <c r="B74" s="67" t="s">
        <v>1777</v>
      </c>
      <c r="C74" s="67" t="s">
        <v>1864</v>
      </c>
      <c r="D74" s="67" t="s">
        <v>1864</v>
      </c>
      <c r="E74" s="67" t="s">
        <v>1864</v>
      </c>
      <c r="F74" s="67" t="s">
        <v>1864</v>
      </c>
      <c r="G74" s="67" t="s">
        <v>1865</v>
      </c>
      <c r="H74" s="67" t="s">
        <v>1865</v>
      </c>
      <c r="I74" s="67" t="s">
        <v>1865</v>
      </c>
      <c r="J74" s="67" t="s">
        <v>1865</v>
      </c>
      <c r="K74" s="67" t="s">
        <v>1865</v>
      </c>
    </row>
    <row r="75" spans="1:11" ht="21.95" customHeight="1">
      <c r="A75" s="68" t="s">
        <v>1866</v>
      </c>
      <c r="B75" s="68" t="s">
        <v>1866</v>
      </c>
      <c r="C75" s="68" t="s">
        <v>1867</v>
      </c>
      <c r="D75" s="68" t="s">
        <v>1867</v>
      </c>
      <c r="E75" s="68" t="s">
        <v>1867</v>
      </c>
      <c r="F75" s="68" t="s">
        <v>1867</v>
      </c>
      <c r="G75" s="68" t="s">
        <v>1868</v>
      </c>
      <c r="H75" s="68" t="s">
        <v>1868</v>
      </c>
      <c r="I75" s="68" t="s">
        <v>1868</v>
      </c>
      <c r="J75" s="68" t="s">
        <v>1868</v>
      </c>
      <c r="K75" s="68" t="s">
        <v>1868</v>
      </c>
    </row>
    <row r="76" spans="1:11" ht="21.95" customHeight="1">
      <c r="A76" s="68" t="s">
        <v>1866</v>
      </c>
      <c r="B76" s="68" t="s">
        <v>1866</v>
      </c>
      <c r="C76" s="68" t="s">
        <v>1867</v>
      </c>
      <c r="D76" s="68" t="s">
        <v>1867</v>
      </c>
      <c r="E76" s="68" t="s">
        <v>1867</v>
      </c>
      <c r="F76" s="68" t="s">
        <v>1867</v>
      </c>
      <c r="G76" s="68" t="s">
        <v>1868</v>
      </c>
      <c r="H76" s="68" t="s">
        <v>1868</v>
      </c>
      <c r="I76" s="68" t="s">
        <v>1868</v>
      </c>
      <c r="J76" s="68" t="s">
        <v>1868</v>
      </c>
      <c r="K76" s="68" t="s">
        <v>1868</v>
      </c>
    </row>
    <row r="77" spans="1:11" ht="21.95" customHeight="1">
      <c r="A77" s="68" t="s">
        <v>1866</v>
      </c>
      <c r="B77" s="68" t="s">
        <v>1866</v>
      </c>
      <c r="C77" s="68" t="s">
        <v>1867</v>
      </c>
      <c r="D77" s="68" t="s">
        <v>1867</v>
      </c>
      <c r="E77" s="68" t="s">
        <v>1867</v>
      </c>
      <c r="F77" s="68" t="s">
        <v>1867</v>
      </c>
      <c r="G77" s="68" t="s">
        <v>1868</v>
      </c>
      <c r="H77" s="68" t="s">
        <v>1868</v>
      </c>
      <c r="I77" s="68" t="s">
        <v>1868</v>
      </c>
      <c r="J77" s="68" t="s">
        <v>1868</v>
      </c>
      <c r="K77" s="68" t="s">
        <v>1868</v>
      </c>
    </row>
    <row r="78" spans="1:11" ht="21.95" customHeight="1">
      <c r="A78" s="69" t="s">
        <v>1866</v>
      </c>
      <c r="B78" s="69" t="s">
        <v>1866</v>
      </c>
      <c r="C78" s="69" t="s">
        <v>1869</v>
      </c>
      <c r="D78" s="69" t="s">
        <v>1869</v>
      </c>
      <c r="E78" s="69" t="s">
        <v>1869</v>
      </c>
      <c r="F78" s="69" t="s">
        <v>1869</v>
      </c>
      <c r="G78" s="69" t="s">
        <v>1870</v>
      </c>
      <c r="H78" s="69" t="s">
        <v>1870</v>
      </c>
      <c r="I78" s="69" t="s">
        <v>1870</v>
      </c>
      <c r="J78" s="69" t="s">
        <v>1870</v>
      </c>
      <c r="K78" s="69" t="s">
        <v>1870</v>
      </c>
    </row>
    <row r="79" spans="1:11" ht="21.95" customHeight="1">
      <c r="A79" s="69" t="s">
        <v>1866</v>
      </c>
      <c r="B79" s="69" t="s">
        <v>1866</v>
      </c>
      <c r="C79" s="69" t="s">
        <v>1869</v>
      </c>
      <c r="D79" s="69" t="s">
        <v>1869</v>
      </c>
      <c r="E79" s="69" t="s">
        <v>1869</v>
      </c>
      <c r="F79" s="69" t="s">
        <v>1869</v>
      </c>
      <c r="G79" s="69" t="s">
        <v>1870</v>
      </c>
      <c r="H79" s="69" t="s">
        <v>1870</v>
      </c>
      <c r="I79" s="69" t="s">
        <v>1870</v>
      </c>
      <c r="J79" s="69" t="s">
        <v>1870</v>
      </c>
      <c r="K79" s="69" t="s">
        <v>1870</v>
      </c>
    </row>
    <row r="80" spans="1:11" ht="21.95" customHeight="1">
      <c r="A80" s="69" t="s">
        <v>1866</v>
      </c>
      <c r="B80" s="69" t="s">
        <v>1866</v>
      </c>
      <c r="C80" s="69" t="s">
        <v>1869</v>
      </c>
      <c r="D80" s="69" t="s">
        <v>1869</v>
      </c>
      <c r="E80" s="69" t="s">
        <v>1869</v>
      </c>
      <c r="F80" s="69" t="s">
        <v>1869</v>
      </c>
      <c r="G80" s="69" t="s">
        <v>1870</v>
      </c>
      <c r="H80" s="69" t="s">
        <v>1870</v>
      </c>
      <c r="I80" s="69" t="s">
        <v>1870</v>
      </c>
      <c r="J80" s="69" t="s">
        <v>1870</v>
      </c>
      <c r="K80" s="69" t="s">
        <v>1870</v>
      </c>
    </row>
    <row r="81" spans="1:11" ht="21.95" customHeight="1">
      <c r="A81" s="68" t="s">
        <v>1871</v>
      </c>
      <c r="B81" s="68" t="s">
        <v>1871</v>
      </c>
      <c r="C81" s="68" t="s">
        <v>1872</v>
      </c>
      <c r="D81" s="68" t="s">
        <v>1872</v>
      </c>
      <c r="E81" s="68" t="s">
        <v>1872</v>
      </c>
      <c r="F81" s="68" t="s">
        <v>1872</v>
      </c>
      <c r="G81" s="68" t="s">
        <v>1873</v>
      </c>
      <c r="H81" s="68" t="s">
        <v>1873</v>
      </c>
      <c r="I81" s="68" t="s">
        <v>1873</v>
      </c>
      <c r="J81" s="68" t="s">
        <v>1873</v>
      </c>
      <c r="K81" s="68" t="s">
        <v>1873</v>
      </c>
    </row>
    <row r="82" spans="1:11" ht="21.95" customHeight="1">
      <c r="A82" s="68" t="s">
        <v>1871</v>
      </c>
      <c r="B82" s="68" t="s">
        <v>1871</v>
      </c>
      <c r="C82" s="68" t="s">
        <v>1872</v>
      </c>
      <c r="D82" s="68" t="s">
        <v>1872</v>
      </c>
      <c r="E82" s="68" t="s">
        <v>1872</v>
      </c>
      <c r="F82" s="68" t="s">
        <v>1872</v>
      </c>
      <c r="G82" s="68" t="s">
        <v>1873</v>
      </c>
      <c r="H82" s="68" t="s">
        <v>1873</v>
      </c>
      <c r="I82" s="68" t="s">
        <v>1873</v>
      </c>
      <c r="J82" s="68" t="s">
        <v>1873</v>
      </c>
      <c r="K82" s="68" t="s">
        <v>1873</v>
      </c>
    </row>
    <row r="83" spans="1:11" ht="21.95" customHeight="1">
      <c r="A83" s="68" t="s">
        <v>1871</v>
      </c>
      <c r="B83" s="68" t="s">
        <v>1871</v>
      </c>
      <c r="C83" s="68" t="s">
        <v>1872</v>
      </c>
      <c r="D83" s="68" t="s">
        <v>1872</v>
      </c>
      <c r="E83" s="68" t="s">
        <v>1872</v>
      </c>
      <c r="F83" s="68" t="s">
        <v>1872</v>
      </c>
      <c r="G83" s="68" t="s">
        <v>1873</v>
      </c>
      <c r="H83" s="68" t="s">
        <v>1873</v>
      </c>
      <c r="I83" s="68" t="s">
        <v>1873</v>
      </c>
      <c r="J83" s="68" t="s">
        <v>1873</v>
      </c>
      <c r="K83" s="68" t="s">
        <v>1873</v>
      </c>
    </row>
    <row r="84" spans="1:11" ht="21.95" customHeight="1">
      <c r="A84" s="69" t="s">
        <v>1874</v>
      </c>
      <c r="B84" s="69" t="s">
        <v>1874</v>
      </c>
      <c r="C84" s="69" t="s">
        <v>1875</v>
      </c>
      <c r="D84" s="69" t="s">
        <v>1875</v>
      </c>
      <c r="E84" s="69" t="s">
        <v>1875</v>
      </c>
      <c r="F84" s="69" t="s">
        <v>1875</v>
      </c>
      <c r="G84" s="69" t="s">
        <v>1876</v>
      </c>
      <c r="H84" s="69" t="s">
        <v>1876</v>
      </c>
      <c r="I84" s="69" t="s">
        <v>1876</v>
      </c>
      <c r="J84" s="69" t="s">
        <v>1876</v>
      </c>
      <c r="K84" s="69" t="s">
        <v>1876</v>
      </c>
    </row>
    <row r="85" spans="1:11" ht="21.95" customHeight="1">
      <c r="A85" s="69" t="s">
        <v>1874</v>
      </c>
      <c r="B85" s="69" t="s">
        <v>1874</v>
      </c>
      <c r="C85" s="69" t="s">
        <v>1875</v>
      </c>
      <c r="D85" s="69" t="s">
        <v>1875</v>
      </c>
      <c r="E85" s="69" t="s">
        <v>1875</v>
      </c>
      <c r="F85" s="69" t="s">
        <v>1875</v>
      </c>
      <c r="G85" s="69" t="s">
        <v>1876</v>
      </c>
      <c r="H85" s="69" t="s">
        <v>1876</v>
      </c>
      <c r="I85" s="69" t="s">
        <v>1876</v>
      </c>
      <c r="J85" s="69" t="s">
        <v>1876</v>
      </c>
      <c r="K85" s="69" t="s">
        <v>1876</v>
      </c>
    </row>
    <row r="86" spans="1:11" ht="21.95" customHeight="1">
      <c r="A86" s="69" t="s">
        <v>1874</v>
      </c>
      <c r="B86" s="69" t="s">
        <v>1874</v>
      </c>
      <c r="C86" s="69" t="s">
        <v>1875</v>
      </c>
      <c r="D86" s="69" t="s">
        <v>1875</v>
      </c>
      <c r="E86" s="69" t="s">
        <v>1875</v>
      </c>
      <c r="F86" s="69" t="s">
        <v>1875</v>
      </c>
      <c r="G86" s="69" t="s">
        <v>1876</v>
      </c>
      <c r="H86" s="69" t="s">
        <v>1876</v>
      </c>
      <c r="I86" s="69" t="s">
        <v>1876</v>
      </c>
      <c r="J86" s="69" t="s">
        <v>1876</v>
      </c>
      <c r="K86" s="69" t="s">
        <v>1876</v>
      </c>
    </row>
    <row r="87" spans="1:1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36" customHeight="1">
      <c r="A89" s="66" t="s">
        <v>1877</v>
      </c>
      <c r="B89" s="66" t="s">
        <v>1877</v>
      </c>
      <c r="C89" s="66" t="s">
        <v>1877</v>
      </c>
      <c r="D89" s="66" t="s">
        <v>1877</v>
      </c>
      <c r="E89" s="66" t="s">
        <v>1877</v>
      </c>
      <c r="F89" s="66" t="s">
        <v>1877</v>
      </c>
      <c r="G89" s="66" t="s">
        <v>1877</v>
      </c>
      <c r="H89" s="66" t="s">
        <v>1877</v>
      </c>
      <c r="I89" s="66" t="s">
        <v>1877</v>
      </c>
      <c r="J89" s="66" t="s">
        <v>1877</v>
      </c>
      <c r="K89" s="66" t="s">
        <v>1877</v>
      </c>
    </row>
    <row r="90" spans="1:1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spans="1:11" ht="36" customHeight="1">
      <c r="A91" s="66" t="s">
        <v>1878</v>
      </c>
      <c r="B91" s="66" t="s">
        <v>1878</v>
      </c>
      <c r="C91" s="66" t="s">
        <v>1878</v>
      </c>
      <c r="D91" s="66" t="s">
        <v>1878</v>
      </c>
      <c r="E91" s="66" t="s">
        <v>1878</v>
      </c>
      <c r="F91" s="66" t="s">
        <v>1878</v>
      </c>
      <c r="G91" s="66" t="s">
        <v>1878</v>
      </c>
      <c r="H91" s="66" t="s">
        <v>1878</v>
      </c>
      <c r="I91" s="66" t="s">
        <v>1878</v>
      </c>
      <c r="J91" s="66" t="s">
        <v>1878</v>
      </c>
      <c r="K91" s="66" t="s">
        <v>1878</v>
      </c>
    </row>
    <row r="92" spans="1:1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ht="36" customHeight="1">
      <c r="A93" s="66" t="s">
        <v>1879</v>
      </c>
      <c r="B93" s="66" t="s">
        <v>1879</v>
      </c>
      <c r="C93" s="66" t="s">
        <v>1879</v>
      </c>
      <c r="D93" s="66" t="s">
        <v>1879</v>
      </c>
      <c r="E93" s="66" t="s">
        <v>1879</v>
      </c>
      <c r="F93" s="66" t="s">
        <v>1879</v>
      </c>
      <c r="G93" s="66" t="s">
        <v>1879</v>
      </c>
      <c r="H93" s="66" t="s">
        <v>1879</v>
      </c>
      <c r="I93" s="66" t="s">
        <v>1879</v>
      </c>
      <c r="J93" s="66" t="s">
        <v>1879</v>
      </c>
      <c r="K93" s="66" t="s">
        <v>1879</v>
      </c>
    </row>
    <row r="94" spans="1:1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spans="1:11" ht="36" customHeight="1">
      <c r="A95" s="66" t="s">
        <v>1880</v>
      </c>
      <c r="B95" s="66" t="s">
        <v>1880</v>
      </c>
      <c r="C95" s="66" t="s">
        <v>1880</v>
      </c>
      <c r="D95" s="66" t="s">
        <v>1880</v>
      </c>
      <c r="E95" s="66" t="s">
        <v>1880</v>
      </c>
      <c r="F95" s="66" t="s">
        <v>1880</v>
      </c>
      <c r="G95" s="66" t="s">
        <v>1880</v>
      </c>
      <c r="H95" s="66" t="s">
        <v>1880</v>
      </c>
      <c r="I95" s="66" t="s">
        <v>1880</v>
      </c>
      <c r="J95" s="66" t="s">
        <v>1880</v>
      </c>
      <c r="K95" s="66" t="s">
        <v>1880</v>
      </c>
    </row>
    <row r="96" spans="1:1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spans="1:1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1:1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1:1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1:1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1:1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1:1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</sheetData>
  <mergeCells count="74">
    <mergeCell ref="A93:K93"/>
    <mergeCell ref="A95:K95"/>
    <mergeCell ref="A84:B86"/>
    <mergeCell ref="C84:F86"/>
    <mergeCell ref="G84:K86"/>
    <mergeCell ref="A89:K89"/>
    <mergeCell ref="A91:K91"/>
    <mergeCell ref="A78:B80"/>
    <mergeCell ref="C78:F80"/>
    <mergeCell ref="G78:K80"/>
    <mergeCell ref="A81:B83"/>
    <mergeCell ref="C81:F83"/>
    <mergeCell ref="G81:K83"/>
    <mergeCell ref="A72:B74"/>
    <mergeCell ref="C72:F74"/>
    <mergeCell ref="G72:K74"/>
    <mergeCell ref="A75:B77"/>
    <mergeCell ref="C75:F77"/>
    <mergeCell ref="G75:K77"/>
    <mergeCell ref="A64:B66"/>
    <mergeCell ref="C64:F66"/>
    <mergeCell ref="G64:K66"/>
    <mergeCell ref="A67:B69"/>
    <mergeCell ref="C67:F69"/>
    <mergeCell ref="G67:K69"/>
    <mergeCell ref="A58:B60"/>
    <mergeCell ref="C58:F60"/>
    <mergeCell ref="G58:K60"/>
    <mergeCell ref="A61:B63"/>
    <mergeCell ref="C61:F63"/>
    <mergeCell ref="G61:K63"/>
    <mergeCell ref="A50:B52"/>
    <mergeCell ref="C50:F52"/>
    <mergeCell ref="G50:K52"/>
    <mergeCell ref="A55:B57"/>
    <mergeCell ref="C55:F57"/>
    <mergeCell ref="G55:K57"/>
    <mergeCell ref="A44:B46"/>
    <mergeCell ref="C44:F46"/>
    <mergeCell ref="G44:K46"/>
    <mergeCell ref="A47:B49"/>
    <mergeCell ref="C47:F49"/>
    <mergeCell ref="G47:K49"/>
    <mergeCell ref="A38:B40"/>
    <mergeCell ref="C38:F40"/>
    <mergeCell ref="G38:K40"/>
    <mergeCell ref="A41:B43"/>
    <mergeCell ref="C41:F43"/>
    <mergeCell ref="G41:K43"/>
    <mergeCell ref="A30:B32"/>
    <mergeCell ref="C30:F32"/>
    <mergeCell ref="G30:K32"/>
    <mergeCell ref="A33:B35"/>
    <mergeCell ref="C33:F35"/>
    <mergeCell ref="G33:K35"/>
    <mergeCell ref="A24:B26"/>
    <mergeCell ref="C24:F26"/>
    <mergeCell ref="G24:K26"/>
    <mergeCell ref="A27:B29"/>
    <mergeCell ref="C27:F29"/>
    <mergeCell ref="G27:K29"/>
    <mergeCell ref="A18:B20"/>
    <mergeCell ref="C18:F20"/>
    <mergeCell ref="G18:K20"/>
    <mergeCell ref="A21:B23"/>
    <mergeCell ref="C21:F23"/>
    <mergeCell ref="G21:K23"/>
    <mergeCell ref="A4:K4"/>
    <mergeCell ref="A6:C9"/>
    <mergeCell ref="E6:G9"/>
    <mergeCell ref="I6:K9"/>
    <mergeCell ref="E12:G15"/>
    <mergeCell ref="A12:C15"/>
    <mergeCell ref="I12:K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15F8C"/>
  </sheetPr>
  <dimension ref="A1:O3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0" customWidth="1"/>
    <col min="2" max="2" width="27" customWidth="1"/>
    <col min="3" max="3" width="44" customWidth="1"/>
    <col min="4" max="4" width="48" customWidth="1"/>
    <col min="5" max="5" width="58" customWidth="1"/>
    <col min="6" max="6" width="56" customWidth="1"/>
    <col min="7" max="7" width="43" customWidth="1"/>
    <col min="8" max="8" width="52" customWidth="1"/>
    <col min="9" max="9" width="53" customWidth="1"/>
    <col min="10" max="11" width="43" customWidth="1"/>
    <col min="12" max="12" width="39" customWidth="1"/>
    <col min="13" max="13" width="30" customWidth="1"/>
    <col min="14" max="14" width="24" customWidth="1"/>
    <col min="15" max="15" width="45" customWidth="1"/>
  </cols>
  <sheetData>
    <row r="1" spans="1:1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7.95" customHeight="1">
      <c r="A2" s="15" t="s">
        <v>1881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6.9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36" customHeight="1">
      <c r="A4" s="66" t="s">
        <v>1882</v>
      </c>
      <c r="B4" s="66" t="s">
        <v>1882</v>
      </c>
      <c r="C4" s="66" t="s">
        <v>1882</v>
      </c>
      <c r="D4" s="66" t="s">
        <v>1882</v>
      </c>
      <c r="E4" s="66" t="s">
        <v>1882</v>
      </c>
      <c r="F4" s="66" t="s">
        <v>1882</v>
      </c>
      <c r="G4" s="66" t="s">
        <v>1882</v>
      </c>
      <c r="H4" s="66" t="s">
        <v>1882</v>
      </c>
      <c r="I4" s="66" t="s">
        <v>1882</v>
      </c>
      <c r="J4" s="66" t="s">
        <v>1882</v>
      </c>
      <c r="K4" s="66" t="s">
        <v>1882</v>
      </c>
      <c r="L4" s="66" t="s">
        <v>1882</v>
      </c>
      <c r="M4" s="66" t="s">
        <v>1882</v>
      </c>
      <c r="N4" s="66" t="s">
        <v>1882</v>
      </c>
      <c r="O4" s="66" t="s">
        <v>1882</v>
      </c>
    </row>
    <row r="5" spans="1:1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ht="36" customHeight="1">
      <c r="A6" s="18" t="s">
        <v>3</v>
      </c>
      <c r="B6" s="18" t="s">
        <v>899</v>
      </c>
      <c r="C6" s="18" t="s">
        <v>1883</v>
      </c>
      <c r="D6" s="18" t="s">
        <v>1884</v>
      </c>
      <c r="E6" s="18" t="s">
        <v>1885</v>
      </c>
      <c r="F6" s="18" t="s">
        <v>1886</v>
      </c>
      <c r="G6" s="18" t="s">
        <v>1887</v>
      </c>
      <c r="H6" s="18" t="s">
        <v>1888</v>
      </c>
      <c r="I6" s="18" t="s">
        <v>1889</v>
      </c>
      <c r="J6" s="18" t="s">
        <v>1890</v>
      </c>
      <c r="K6" s="18" t="s">
        <v>1891</v>
      </c>
      <c r="L6" s="18" t="s">
        <v>1892</v>
      </c>
      <c r="M6" s="18" t="s">
        <v>1893</v>
      </c>
      <c r="N6" s="18" t="s">
        <v>1197</v>
      </c>
      <c r="O6" s="18" t="s">
        <v>1894</v>
      </c>
    </row>
    <row r="7" spans="1:15" ht="45" customHeight="1">
      <c r="A7" s="12" t="s">
        <v>1895</v>
      </c>
      <c r="B7" s="12" t="s">
        <v>913</v>
      </c>
      <c r="C7" s="12" t="s">
        <v>1896</v>
      </c>
      <c r="D7" s="12" t="s">
        <v>1897</v>
      </c>
      <c r="E7" s="12" t="s">
        <v>1898</v>
      </c>
      <c r="F7" s="12" t="s">
        <v>1899</v>
      </c>
      <c r="G7" s="12" t="s">
        <v>1900</v>
      </c>
      <c r="H7" s="12" t="s">
        <v>1901</v>
      </c>
      <c r="I7" s="12" t="s">
        <v>1902</v>
      </c>
      <c r="J7" s="12" t="s">
        <v>1903</v>
      </c>
      <c r="K7" s="13"/>
      <c r="L7" s="13"/>
      <c r="M7" s="13"/>
      <c r="N7" s="13" t="s">
        <v>1904</v>
      </c>
      <c r="O7" s="13"/>
    </row>
    <row r="8" spans="1:15" ht="45" customHeight="1">
      <c r="A8" s="12" t="s">
        <v>1905</v>
      </c>
      <c r="B8" s="12" t="s">
        <v>928</v>
      </c>
      <c r="C8" s="12" t="s">
        <v>1906</v>
      </c>
      <c r="D8" s="12" t="s">
        <v>1907</v>
      </c>
      <c r="E8" s="12" t="s">
        <v>1908</v>
      </c>
      <c r="F8" s="12" t="s">
        <v>1909</v>
      </c>
      <c r="G8" s="12" t="s">
        <v>1910</v>
      </c>
      <c r="H8" s="12" t="s">
        <v>1911</v>
      </c>
      <c r="I8" s="12" t="s">
        <v>1912</v>
      </c>
      <c r="J8" s="12" t="s">
        <v>1913</v>
      </c>
      <c r="K8" s="13"/>
      <c r="L8" s="13"/>
      <c r="M8" s="13"/>
      <c r="N8" s="13" t="s">
        <v>1904</v>
      </c>
      <c r="O8" s="13"/>
    </row>
    <row r="9" spans="1:15" ht="45" customHeight="1">
      <c r="A9" s="12" t="s">
        <v>1914</v>
      </c>
      <c r="B9" s="12" t="s">
        <v>941</v>
      </c>
      <c r="C9" s="12" t="s">
        <v>1915</v>
      </c>
      <c r="D9" s="12" t="s">
        <v>1916</v>
      </c>
      <c r="E9" s="12" t="s">
        <v>1917</v>
      </c>
      <c r="F9" s="12" t="s">
        <v>1918</v>
      </c>
      <c r="G9" s="12" t="s">
        <v>1919</v>
      </c>
      <c r="H9" s="12" t="s">
        <v>1920</v>
      </c>
      <c r="I9" s="12" t="s">
        <v>1921</v>
      </c>
      <c r="J9" s="12" t="s">
        <v>1922</v>
      </c>
      <c r="K9" s="13"/>
      <c r="L9" s="13"/>
      <c r="M9" s="13"/>
      <c r="N9" s="13" t="s">
        <v>764</v>
      </c>
      <c r="O9" s="13"/>
    </row>
    <row r="10" spans="1:15" ht="45" customHeight="1">
      <c r="A10" s="12" t="s">
        <v>1923</v>
      </c>
      <c r="B10" s="12" t="s">
        <v>1924</v>
      </c>
      <c r="C10" s="12" t="s">
        <v>1925</v>
      </c>
      <c r="D10" s="12" t="s">
        <v>1926</v>
      </c>
      <c r="E10" s="12" t="s">
        <v>1927</v>
      </c>
      <c r="F10" s="12" t="s">
        <v>1928</v>
      </c>
      <c r="G10" s="12" t="s">
        <v>1929</v>
      </c>
      <c r="H10" s="12" t="s">
        <v>1930</v>
      </c>
      <c r="I10" s="12" t="s">
        <v>1931</v>
      </c>
      <c r="J10" s="12" t="s">
        <v>1932</v>
      </c>
      <c r="K10" s="13"/>
      <c r="L10" s="13"/>
      <c r="M10" s="13"/>
      <c r="N10" s="13" t="s">
        <v>764</v>
      </c>
      <c r="O10" s="13"/>
    </row>
    <row r="11" spans="1:15" ht="45" customHeight="1">
      <c r="A11" s="12" t="s">
        <v>1933</v>
      </c>
      <c r="B11" s="12" t="s">
        <v>1934</v>
      </c>
      <c r="C11" s="12" t="s">
        <v>1935</v>
      </c>
      <c r="D11" s="12" t="s">
        <v>1936</v>
      </c>
      <c r="E11" s="12" t="s">
        <v>1937</v>
      </c>
      <c r="F11" s="12" t="s">
        <v>1938</v>
      </c>
      <c r="G11" s="12" t="s">
        <v>1939</v>
      </c>
      <c r="H11" s="12" t="s">
        <v>1940</v>
      </c>
      <c r="I11" s="12" t="s">
        <v>1941</v>
      </c>
      <c r="J11" s="12" t="s">
        <v>1942</v>
      </c>
      <c r="K11" s="13"/>
      <c r="L11" s="13"/>
      <c r="M11" s="13"/>
      <c r="N11" s="13" t="s">
        <v>764</v>
      </c>
      <c r="O11" s="13"/>
    </row>
    <row r="12" spans="1:15" ht="45" customHeight="1">
      <c r="A12" s="12" t="s">
        <v>1943</v>
      </c>
      <c r="B12" s="12" t="s">
        <v>1944</v>
      </c>
      <c r="C12" s="12" t="s">
        <v>1945</v>
      </c>
      <c r="D12" s="12" t="s">
        <v>1946</v>
      </c>
      <c r="E12" s="12" t="s">
        <v>1947</v>
      </c>
      <c r="F12" s="12" t="s">
        <v>1948</v>
      </c>
      <c r="G12" s="12" t="s">
        <v>1949</v>
      </c>
      <c r="H12" s="12" t="s">
        <v>1950</v>
      </c>
      <c r="I12" s="12" t="s">
        <v>1951</v>
      </c>
      <c r="J12" s="12" t="s">
        <v>1952</v>
      </c>
      <c r="K12" s="13"/>
      <c r="L12" s="13"/>
      <c r="M12" s="13"/>
      <c r="N12" s="13" t="s">
        <v>764</v>
      </c>
      <c r="O12" s="13"/>
    </row>
    <row r="13" spans="1:15" ht="45" customHeight="1">
      <c r="A13" s="12" t="s">
        <v>1953</v>
      </c>
      <c r="B13" s="12" t="s">
        <v>1954</v>
      </c>
      <c r="C13" s="12" t="s">
        <v>1955</v>
      </c>
      <c r="D13" s="12" t="s">
        <v>1956</v>
      </c>
      <c r="E13" s="12" t="s">
        <v>1957</v>
      </c>
      <c r="F13" s="12" t="s">
        <v>1958</v>
      </c>
      <c r="G13" s="12" t="s">
        <v>1959</v>
      </c>
      <c r="H13" s="12" t="s">
        <v>1960</v>
      </c>
      <c r="I13" s="12" t="s">
        <v>1961</v>
      </c>
      <c r="J13" s="12" t="s">
        <v>1962</v>
      </c>
      <c r="K13" s="13"/>
      <c r="L13" s="13"/>
      <c r="M13" s="13"/>
      <c r="N13" s="13" t="s">
        <v>764</v>
      </c>
      <c r="O13" s="13"/>
    </row>
    <row r="14" spans="1:15" ht="45" customHeight="1">
      <c r="A14" s="12" t="s">
        <v>1963</v>
      </c>
      <c r="B14" s="12" t="s">
        <v>1060</v>
      </c>
      <c r="C14" s="12" t="s">
        <v>1964</v>
      </c>
      <c r="D14" s="12" t="s">
        <v>1965</v>
      </c>
      <c r="E14" s="12" t="s">
        <v>1966</v>
      </c>
      <c r="F14" s="12" t="s">
        <v>1967</v>
      </c>
      <c r="G14" s="12" t="s">
        <v>1968</v>
      </c>
      <c r="H14" s="12" t="s">
        <v>1969</v>
      </c>
      <c r="I14" s="12" t="s">
        <v>1970</v>
      </c>
      <c r="J14" s="12" t="s">
        <v>1971</v>
      </c>
      <c r="K14" s="13"/>
      <c r="L14" s="13"/>
      <c r="M14" s="13"/>
      <c r="N14" s="13" t="s">
        <v>764</v>
      </c>
      <c r="O14" s="13"/>
    </row>
    <row r="15" spans="1:15" ht="45" customHeight="1">
      <c r="A15" s="12" t="s">
        <v>1972</v>
      </c>
      <c r="B15" s="12" t="s">
        <v>1095</v>
      </c>
      <c r="C15" s="12" t="s">
        <v>1973</v>
      </c>
      <c r="D15" s="12" t="s">
        <v>1974</v>
      </c>
      <c r="E15" s="12" t="s">
        <v>1975</v>
      </c>
      <c r="F15" s="12" t="s">
        <v>1976</v>
      </c>
      <c r="G15" s="12" t="s">
        <v>1977</v>
      </c>
      <c r="H15" s="12" t="s">
        <v>1978</v>
      </c>
      <c r="I15" s="12" t="s">
        <v>1979</v>
      </c>
      <c r="J15" s="12" t="s">
        <v>1980</v>
      </c>
      <c r="K15" s="13"/>
      <c r="L15" s="13"/>
      <c r="M15" s="13"/>
      <c r="N15" s="13" t="s">
        <v>764</v>
      </c>
      <c r="O15" s="13"/>
    </row>
    <row r="16" spans="1:15" ht="45" customHeight="1">
      <c r="A16" s="12" t="s">
        <v>1981</v>
      </c>
      <c r="B16" s="12" t="s">
        <v>1206</v>
      </c>
      <c r="C16" s="12" t="s">
        <v>1982</v>
      </c>
      <c r="D16" s="12" t="s">
        <v>1983</v>
      </c>
      <c r="E16" s="12" t="s">
        <v>1984</v>
      </c>
      <c r="F16" s="12" t="s">
        <v>1985</v>
      </c>
      <c r="G16" s="12" t="s">
        <v>1986</v>
      </c>
      <c r="H16" s="12" t="s">
        <v>1987</v>
      </c>
      <c r="I16" s="12" t="s">
        <v>1988</v>
      </c>
      <c r="J16" s="12" t="s">
        <v>1989</v>
      </c>
      <c r="K16" s="13"/>
      <c r="L16" s="13"/>
      <c r="M16" s="13"/>
      <c r="N16" s="13" t="s">
        <v>764</v>
      </c>
      <c r="O16" s="13"/>
    </row>
    <row r="17" spans="1:15" ht="45" customHeight="1">
      <c r="A17" s="12" t="s">
        <v>1990</v>
      </c>
      <c r="B17" s="12" t="s">
        <v>1137</v>
      </c>
      <c r="C17" s="12" t="s">
        <v>1991</v>
      </c>
      <c r="D17" s="12" t="s">
        <v>1992</v>
      </c>
      <c r="E17" s="12" t="s">
        <v>1993</v>
      </c>
      <c r="F17" s="12" t="s">
        <v>1994</v>
      </c>
      <c r="G17" s="12" t="s">
        <v>1995</v>
      </c>
      <c r="H17" s="12" t="s">
        <v>1996</v>
      </c>
      <c r="I17" s="12" t="s">
        <v>1997</v>
      </c>
      <c r="J17" s="12" t="s">
        <v>1998</v>
      </c>
      <c r="K17" s="13"/>
      <c r="L17" s="13"/>
      <c r="M17" s="13"/>
      <c r="N17" s="13" t="s">
        <v>764</v>
      </c>
      <c r="O17" s="13"/>
    </row>
    <row r="18" spans="1:15" ht="45" customHeight="1">
      <c r="A18" s="12" t="s">
        <v>1999</v>
      </c>
      <c r="B18" s="12" t="s">
        <v>1144</v>
      </c>
      <c r="C18" s="12" t="s">
        <v>2000</v>
      </c>
      <c r="D18" s="12" t="s">
        <v>2001</v>
      </c>
      <c r="E18" s="12" t="s">
        <v>2002</v>
      </c>
      <c r="F18" s="12" t="s">
        <v>2003</v>
      </c>
      <c r="G18" s="12" t="s">
        <v>2004</v>
      </c>
      <c r="H18" s="12" t="s">
        <v>2005</v>
      </c>
      <c r="I18" s="12" t="s">
        <v>2006</v>
      </c>
      <c r="J18" s="12" t="s">
        <v>2007</v>
      </c>
      <c r="K18" s="13"/>
      <c r="L18" s="13"/>
      <c r="M18" s="13"/>
      <c r="N18" s="13" t="s">
        <v>764</v>
      </c>
      <c r="O18" s="13"/>
    </row>
    <row r="19" spans="1:15" ht="45" customHeight="1">
      <c r="A19" s="12" t="s">
        <v>2008</v>
      </c>
      <c r="B19" s="12" t="s">
        <v>2009</v>
      </c>
      <c r="C19" s="12" t="s">
        <v>2010</v>
      </c>
      <c r="D19" s="12" t="s">
        <v>2011</v>
      </c>
      <c r="E19" s="12" t="s">
        <v>2012</v>
      </c>
      <c r="F19" s="12" t="s">
        <v>2013</v>
      </c>
      <c r="G19" s="12" t="s">
        <v>2014</v>
      </c>
      <c r="H19" s="12" t="s">
        <v>2015</v>
      </c>
      <c r="I19" s="12" t="s">
        <v>2016</v>
      </c>
      <c r="J19" s="12" t="s">
        <v>2017</v>
      </c>
      <c r="K19" s="13"/>
      <c r="L19" s="13"/>
      <c r="M19" s="13"/>
      <c r="N19" s="13" t="s">
        <v>764</v>
      </c>
      <c r="O19" s="13"/>
    </row>
    <row r="20" spans="1:15" ht="45" customHeight="1">
      <c r="A20" s="12" t="s">
        <v>2018</v>
      </c>
      <c r="B20" s="12" t="s">
        <v>1230</v>
      </c>
      <c r="C20" s="12" t="s">
        <v>2019</v>
      </c>
      <c r="D20" s="12" t="s">
        <v>2020</v>
      </c>
      <c r="E20" s="12" t="s">
        <v>2021</v>
      </c>
      <c r="F20" s="12" t="s">
        <v>2022</v>
      </c>
      <c r="G20" s="12" t="s">
        <v>2023</v>
      </c>
      <c r="H20" s="12" t="s">
        <v>2024</v>
      </c>
      <c r="I20" s="12" t="s">
        <v>2025</v>
      </c>
      <c r="J20" s="12" t="s">
        <v>2026</v>
      </c>
      <c r="K20" s="13"/>
      <c r="L20" s="13"/>
      <c r="M20" s="13"/>
      <c r="N20" s="13" t="s">
        <v>764</v>
      </c>
      <c r="O20" s="13"/>
    </row>
    <row r="21" spans="1:15" ht="45" customHeight="1">
      <c r="A21" s="12" t="s">
        <v>2027</v>
      </c>
      <c r="B21" s="12" t="s">
        <v>1237</v>
      </c>
      <c r="C21" s="12" t="s">
        <v>2028</v>
      </c>
      <c r="D21" s="12" t="s">
        <v>2029</v>
      </c>
      <c r="E21" s="12" t="s">
        <v>2030</v>
      </c>
      <c r="F21" s="12" t="s">
        <v>2031</v>
      </c>
      <c r="G21" s="12" t="s">
        <v>2032</v>
      </c>
      <c r="H21" s="12" t="s">
        <v>2033</v>
      </c>
      <c r="I21" s="12" t="s">
        <v>2034</v>
      </c>
      <c r="J21" s="12" t="s">
        <v>2035</v>
      </c>
      <c r="K21" s="13"/>
      <c r="L21" s="13"/>
      <c r="M21" s="13"/>
      <c r="N21" s="13" t="s">
        <v>764</v>
      </c>
      <c r="O21" s="13"/>
    </row>
    <row r="22" spans="1:15" ht="45" customHeight="1">
      <c r="A22" s="12" t="s">
        <v>2036</v>
      </c>
      <c r="B22" s="12" t="s">
        <v>1172</v>
      </c>
      <c r="C22" s="12" t="s">
        <v>2037</v>
      </c>
      <c r="D22" s="12" t="s">
        <v>2038</v>
      </c>
      <c r="E22" s="12" t="s">
        <v>2039</v>
      </c>
      <c r="F22" s="12" t="s">
        <v>2040</v>
      </c>
      <c r="G22" s="12" t="s">
        <v>2041</v>
      </c>
      <c r="H22" s="12" t="s">
        <v>2042</v>
      </c>
      <c r="I22" s="12" t="s">
        <v>2043</v>
      </c>
      <c r="J22" s="12" t="s">
        <v>2044</v>
      </c>
      <c r="K22" s="13"/>
      <c r="L22" s="13"/>
      <c r="M22" s="13"/>
      <c r="N22" s="13" t="s">
        <v>764</v>
      </c>
      <c r="O22" s="13"/>
    </row>
    <row r="23" spans="1:15" ht="45" customHeight="1">
      <c r="A23" s="12" t="s">
        <v>2045</v>
      </c>
      <c r="B23" s="12" t="s">
        <v>1179</v>
      </c>
      <c r="C23" s="12" t="s">
        <v>2046</v>
      </c>
      <c r="D23" s="12" t="s">
        <v>2047</v>
      </c>
      <c r="E23" s="12" t="s">
        <v>2048</v>
      </c>
      <c r="F23" s="12" t="s">
        <v>2049</v>
      </c>
      <c r="G23" s="12" t="s">
        <v>2050</v>
      </c>
      <c r="H23" s="12" t="s">
        <v>2051</v>
      </c>
      <c r="I23" s="12" t="s">
        <v>2052</v>
      </c>
      <c r="J23" s="12" t="s">
        <v>2053</v>
      </c>
      <c r="K23" s="13"/>
      <c r="L23" s="13"/>
      <c r="M23" s="13"/>
      <c r="N23" s="13" t="s">
        <v>764</v>
      </c>
      <c r="O23" s="13"/>
    </row>
    <row r="24" spans="1:15" ht="45" customHeight="1">
      <c r="A24" s="12" t="s">
        <v>2054</v>
      </c>
      <c r="B24" s="12" t="s">
        <v>2055</v>
      </c>
      <c r="C24" s="12" t="s">
        <v>2056</v>
      </c>
      <c r="D24" s="12" t="s">
        <v>2057</v>
      </c>
      <c r="E24" s="12" t="s">
        <v>2058</v>
      </c>
      <c r="F24" s="12" t="s">
        <v>2059</v>
      </c>
      <c r="G24" s="12" t="s">
        <v>2060</v>
      </c>
      <c r="H24" s="12" t="s">
        <v>2061</v>
      </c>
      <c r="I24" s="12" t="s">
        <v>2062</v>
      </c>
      <c r="J24" s="12" t="s">
        <v>761</v>
      </c>
      <c r="K24" s="13"/>
      <c r="L24" s="13"/>
      <c r="M24" s="13"/>
      <c r="N24" s="13" t="s">
        <v>764</v>
      </c>
      <c r="O24" s="13"/>
    </row>
    <row r="25" spans="1:15" ht="45" customHeight="1">
      <c r="A25" s="12" t="s">
        <v>2063</v>
      </c>
      <c r="B25" s="12" t="s">
        <v>2064</v>
      </c>
      <c r="C25" s="12" t="s">
        <v>2065</v>
      </c>
      <c r="D25" s="12" t="s">
        <v>2066</v>
      </c>
      <c r="E25" s="12" t="s">
        <v>2067</v>
      </c>
      <c r="F25" s="12" t="s">
        <v>2068</v>
      </c>
      <c r="G25" s="12" t="s">
        <v>2069</v>
      </c>
      <c r="H25" s="12" t="s">
        <v>2070</v>
      </c>
      <c r="I25" s="12" t="s">
        <v>2071</v>
      </c>
      <c r="J25" s="12" t="s">
        <v>2072</v>
      </c>
      <c r="K25" s="13"/>
      <c r="L25" s="13"/>
      <c r="M25" s="13"/>
      <c r="N25" s="13" t="s">
        <v>764</v>
      </c>
      <c r="O25" s="13"/>
    </row>
    <row r="26" spans="1:15" ht="45" customHeight="1">
      <c r="A26" s="12" t="s">
        <v>2073</v>
      </c>
      <c r="B26" s="12" t="s">
        <v>2074</v>
      </c>
      <c r="C26" s="12" t="s">
        <v>2075</v>
      </c>
      <c r="D26" s="12" t="s">
        <v>2076</v>
      </c>
      <c r="E26" s="12" t="s">
        <v>2077</v>
      </c>
      <c r="F26" s="12" t="s">
        <v>2078</v>
      </c>
      <c r="G26" s="12" t="s">
        <v>2079</v>
      </c>
      <c r="H26" s="12" t="s">
        <v>2080</v>
      </c>
      <c r="I26" s="12" t="s">
        <v>2081</v>
      </c>
      <c r="J26" s="12" t="s">
        <v>2082</v>
      </c>
      <c r="K26" s="13"/>
      <c r="L26" s="13"/>
      <c r="M26" s="13"/>
      <c r="N26" s="13" t="s">
        <v>764</v>
      </c>
      <c r="O26" s="13"/>
    </row>
    <row r="27" spans="1:15" ht="45" customHeight="1">
      <c r="A27" s="12" t="s">
        <v>2083</v>
      </c>
      <c r="B27" s="12" t="s">
        <v>2084</v>
      </c>
      <c r="C27" s="12" t="s">
        <v>2085</v>
      </c>
      <c r="D27" s="12" t="s">
        <v>2086</v>
      </c>
      <c r="E27" s="12" t="s">
        <v>2087</v>
      </c>
      <c r="F27" s="12" t="s">
        <v>2088</v>
      </c>
      <c r="G27" s="12" t="s">
        <v>2089</v>
      </c>
      <c r="H27" s="12" t="s">
        <v>2090</v>
      </c>
      <c r="I27" s="12" t="s">
        <v>2091</v>
      </c>
      <c r="J27" s="12" t="s">
        <v>2092</v>
      </c>
      <c r="K27" s="13"/>
      <c r="L27" s="13"/>
      <c r="M27" s="13"/>
      <c r="N27" s="13" t="s">
        <v>764</v>
      </c>
      <c r="O27" s="13"/>
    </row>
    <row r="28" spans="1:15" ht="45" customHeight="1">
      <c r="A28" s="12" t="s">
        <v>2093</v>
      </c>
      <c r="B28" s="12" t="s">
        <v>2094</v>
      </c>
      <c r="C28" s="12" t="s">
        <v>2095</v>
      </c>
      <c r="D28" s="12" t="s">
        <v>2096</v>
      </c>
      <c r="E28" s="12" t="s">
        <v>2097</v>
      </c>
      <c r="F28" s="12" t="s">
        <v>2098</v>
      </c>
      <c r="G28" s="12" t="s">
        <v>2099</v>
      </c>
      <c r="H28" s="12" t="s">
        <v>2100</v>
      </c>
      <c r="I28" s="12" t="s">
        <v>2101</v>
      </c>
      <c r="J28" s="12" t="s">
        <v>2102</v>
      </c>
      <c r="K28" s="13"/>
      <c r="L28" s="13"/>
      <c r="M28" s="13"/>
      <c r="N28" s="13" t="s">
        <v>764</v>
      </c>
      <c r="O28" s="13"/>
    </row>
    <row r="29" spans="1: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4:O4"/>
  </mergeCells>
  <dataValidations count="1">
    <dataValidation type="list" sqref="N7:N28" xr:uid="{00000000-0002-0000-0A00-000000000000}">
      <formula1>"Pilot,Proposed,Confirmed,Hold,Deferred"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Proposal</vt:lpstr>
      <vt:lpstr>Domain Design</vt:lpstr>
      <vt:lpstr>Dataset Map</vt:lpstr>
      <vt:lpstr>Field Contracts</vt:lpstr>
      <vt:lpstr>Time Mapping</vt:lpstr>
      <vt:lpstr>Delivery Plan</vt:lpstr>
      <vt:lpstr>Acceptance</vt:lpstr>
      <vt:lpstr>Decisions</vt:lpstr>
      <vt:lpstr>Evidence</vt:lpstr>
      <vt:lpstr>TableIndex</vt:lpstr>
      <vt:lpstr>Selector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Wenyang Sun</dc:creator>
  <cp:lastModifiedBy>Swenyang@hotmail.com</cp:lastModifiedBy>
  <dcterms:created xsi:type="dcterms:W3CDTF">2026-10-19T15:18:00Z</dcterms:created>
  <dcterms:modified xsi:type="dcterms:W3CDTF">2026-10-19T15:18:00Z</dcterms:modified>
</cp:coreProperties>
</file>